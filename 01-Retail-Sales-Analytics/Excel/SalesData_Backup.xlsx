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Ex1.xml" ContentType="application/vnd.ms-office.chartex+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B1A23A75-AD25-4569-9BD7-689F4A564B6B}" xr6:coauthVersionLast="47" xr6:coauthVersionMax="47" xr10:uidLastSave="{00000000-0000-0000-0000-000000000000}"/>
  <bookViews>
    <workbookView xWindow="-108" yWindow="-108" windowWidth="23256" windowHeight="13896" firstSheet="8" activeTab="12" xr2:uid="{0F1A6B62-9EE4-4A04-BA2E-2E2F8395F167}"/>
  </bookViews>
  <sheets>
    <sheet name="Executive_Dashboard" sheetId="13" r:id="rId1"/>
    <sheet name="SalesData" sheetId="2" r:id="rId2"/>
    <sheet name="Data_Quality_Summary" sheetId="1" r:id="rId3"/>
    <sheet name="KPI_Summary" sheetId="3" r:id="rId4"/>
    <sheet name="Region_Analysis" sheetId="4" r:id="rId5"/>
    <sheet name="Category_Analysis" sheetId="5" r:id="rId6"/>
    <sheet name="Product_Analysis" sheetId="6" r:id="rId7"/>
    <sheet name="Monthly Sales Analysis" sheetId="7" r:id="rId8"/>
    <sheet name="Quarterly_Analysis" sheetId="8" r:id="rId9"/>
    <sheet name="Channel_Analysis" sheetId="9" r:id="rId10"/>
    <sheet name="Segment_Analysis" sheetId="11" r:id="rId11"/>
    <sheet name="Payment_Analysis." sheetId="12" r:id="rId12"/>
    <sheet name="Business_Insights." sheetId="22" r:id="rId13"/>
  </sheets>
  <definedNames>
    <definedName name="_xlnm._FilterDatabase" localSheetId="6" hidden="1">Product_Analysis!$B$21:$B$33</definedName>
    <definedName name="_xlchart.v2.0" hidden="1">Segment_Analysis!$A$12:$A$14</definedName>
    <definedName name="_xlchart.v2.1" hidden="1">Segment_Analysis!$B$12:$B$14</definedName>
    <definedName name="_xlchart.v2.2" hidden="1">Segment_Analysis!$A$12:$A$14</definedName>
    <definedName name="_xlchart.v2.3" hidden="1">Segment_Analysis!$B$12:$B$14</definedName>
    <definedName name="ExternalData_1" localSheetId="1" hidden="1">SalesData!$A$1:$U$1001</definedName>
    <definedName name="Slicer_Category">#N/A</definedName>
    <definedName name="Slicer_Month">#N/A</definedName>
    <definedName name="Slicer_Product">#N/A</definedName>
    <definedName name="Slicer_Region">#N/A</definedName>
  </definedNames>
  <calcPr calcId="191029"/>
  <pivotCaches>
    <pivotCache cacheId="47"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13" l="1"/>
  <c r="F5" i="13"/>
  <c r="J8" i="13"/>
  <c r="F8" i="13"/>
  <c r="A8" i="13"/>
  <c r="J5" i="13"/>
  <c r="E5" i="12"/>
  <c r="E6" i="12"/>
  <c r="E7" i="12"/>
  <c r="E8" i="12"/>
  <c r="E9" i="12"/>
  <c r="E4" i="12"/>
  <c r="E7" i="11"/>
  <c r="E5" i="11"/>
  <c r="E6" i="11"/>
  <c r="E4" i="11"/>
  <c r="E5" i="9"/>
  <c r="E6" i="9"/>
  <c r="E4" i="9"/>
  <c r="D5" i="5"/>
  <c r="D6" i="5"/>
  <c r="D7" i="5"/>
  <c r="D8" i="5"/>
  <c r="D9" i="5"/>
  <c r="D4" i="5"/>
  <c r="E5" i="4"/>
  <c r="E6" i="4"/>
  <c r="E7" i="4"/>
  <c r="E8" i="4"/>
  <c r="E9" i="4"/>
  <c r="E4" i="4"/>
  <c r="B9" i="3"/>
  <c r="B8" i="3"/>
  <c r="B7" i="3"/>
  <c r="B6" i="3"/>
  <c r="B5" i="3"/>
  <c r="B4" i="3"/>
  <c r="X27" i="2" a="1"/>
  <c r="X23" i="2" a="1"/>
  <c r="Y17" i="2"/>
  <c r="Y16" i="2"/>
  <c r="Y15" i="2"/>
  <c r="Y14" i="2"/>
  <c r="Y13" i="2"/>
  <c r="Y12" i="2"/>
  <c r="Y1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3AE965-1DD1-4E08-BCE1-BA2494C0A25C}" keepAlive="1" name="Query - retail_sales_data" description="Connection to the 'retail_sales_data' query in the workbook." type="5" refreshedVersion="8" background="1" saveData="1">
    <dbPr connection="Provider=Microsoft.Mashup.OleDb.1;Data Source=$Workbook$;Location=retail_sales_data;Extended Properties=&quot;&quot;" command="SELECT * FROM [retail_sales_data]"/>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<sst xmlns="http://schemas.openxmlformats.org/spreadsheetml/2006/main" count="11217" uniqueCount="742">
  <si>
    <t>Order_ID</t>
  </si>
  <si>
    <t>Order_Date</t>
  </si>
  <si>
    <t>Customer_ID</t>
  </si>
  <si>
    <t>Customer_Name</t>
  </si>
  <si>
    <t>Region</t>
  </si>
  <si>
    <t>City</t>
  </si>
  <si>
    <t>Product</t>
  </si>
  <si>
    <t>Category</t>
  </si>
  <si>
    <t>Quantity</t>
  </si>
  <si>
    <t>Unit_Price</t>
  </si>
  <si>
    <t>Discount</t>
  </si>
  <si>
    <t>Sales</t>
  </si>
  <si>
    <t>Cost</t>
  </si>
  <si>
    <t>Profit</t>
  </si>
  <si>
    <t>Channel</t>
  </si>
  <si>
    <t>Payment_Method</t>
  </si>
  <si>
    <t>Customer_Segment</t>
  </si>
  <si>
    <t>Month</t>
  </si>
  <si>
    <t>Month_Number</t>
  </si>
  <si>
    <t>Quarter</t>
  </si>
  <si>
    <t>Profit_Margin</t>
  </si>
  <si>
    <t>CUST1034</t>
  </si>
  <si>
    <t>Customer 1079</t>
  </si>
  <si>
    <t>East</t>
  </si>
  <si>
    <t>Bhubaneswar</t>
  </si>
  <si>
    <t>Printer</t>
  </si>
  <si>
    <t>Electronics</t>
  </si>
  <si>
    <t>Store</t>
  </si>
  <si>
    <t>UPI</t>
  </si>
  <si>
    <t>Consumer</t>
  </si>
  <si>
    <t>Jan</t>
  </si>
  <si>
    <t>Q1</t>
  </si>
  <si>
    <t>CUST1247</t>
  </si>
  <si>
    <t>Customer 1128</t>
  </si>
  <si>
    <t>South</t>
  </si>
  <si>
    <t>Hyderabad</t>
  </si>
  <si>
    <t>Desk</t>
  </si>
  <si>
    <t>Furniture</t>
  </si>
  <si>
    <t>Online</t>
  </si>
  <si>
    <t>Debit Card</t>
  </si>
  <si>
    <t>Corporate</t>
  </si>
  <si>
    <t>CUST1217</t>
  </si>
  <si>
    <t>Customer 1034</t>
  </si>
  <si>
    <t>Patna</t>
  </si>
  <si>
    <t>Laptop</t>
  </si>
  <si>
    <t>Credit Card</t>
  </si>
  <si>
    <t>Home Office</t>
  </si>
  <si>
    <t>CUST1243</t>
  </si>
  <si>
    <t>Customer 1297</t>
  </si>
  <si>
    <t>Chennai</t>
  </si>
  <si>
    <t>Water Bottle</t>
  </si>
  <si>
    <t>Lifestyle</t>
  </si>
  <si>
    <t>CUST1022</t>
  </si>
  <si>
    <t>Customer 1007</t>
  </si>
  <si>
    <t>West</t>
  </si>
  <si>
    <t>Ahmedabad</t>
  </si>
  <si>
    <t>CUST1246</t>
  </si>
  <si>
    <t>Customer 1210</t>
  </si>
  <si>
    <t>Kolkata</t>
  </si>
  <si>
    <t>Office Chair</t>
  </si>
  <si>
    <t>CUST1138</t>
  </si>
  <si>
    <t>Customer 1231</t>
  </si>
  <si>
    <t>Notebook</t>
  </si>
  <si>
    <t>Stationery</t>
  </si>
  <si>
    <t>CUST1016</t>
  </si>
  <si>
    <t>Customer 1280</t>
  </si>
  <si>
    <t>Backpack</t>
  </si>
  <si>
    <t>CUST1210</t>
  </si>
  <si>
    <t>Customer 1161</t>
  </si>
  <si>
    <t>Keyboard</t>
  </si>
  <si>
    <t>Accessories</t>
  </si>
  <si>
    <t>Net Banking</t>
  </si>
  <si>
    <t>CUST1152</t>
  </si>
  <si>
    <t>Customer 1259</t>
  </si>
  <si>
    <t>CUST1044</t>
  </si>
  <si>
    <t>Customer 1056</t>
  </si>
  <si>
    <t>Central</t>
  </si>
  <si>
    <t>Bhopal</t>
  </si>
  <si>
    <t>Cash</t>
  </si>
  <si>
    <t>CUST1093</t>
  </si>
  <si>
    <t>Customer 1006</t>
  </si>
  <si>
    <t>Indore</t>
  </si>
  <si>
    <t>CUST1184</t>
  </si>
  <si>
    <t>Customer 1020</t>
  </si>
  <si>
    <t>CUST1218</t>
  </si>
  <si>
    <t>Customer 1011</t>
  </si>
  <si>
    <t>Bengaluru</t>
  </si>
  <si>
    <t>CUST1250</t>
  </si>
  <si>
    <t>Customer 1163</t>
  </si>
  <si>
    <t>CUST1261</t>
  </si>
  <si>
    <t>Customer 1054</t>
  </si>
  <si>
    <t>CUST1078</t>
  </si>
  <si>
    <t>Customer 1062</t>
  </si>
  <si>
    <t>CUST1144</t>
  </si>
  <si>
    <t>Customer 1261</t>
  </si>
  <si>
    <t>CUST1280</t>
  </si>
  <si>
    <t>Customer 1094</t>
  </si>
  <si>
    <t>North</t>
  </si>
  <si>
    <t>Delhi</t>
  </si>
  <si>
    <t>Monitor</t>
  </si>
  <si>
    <t>CUST1200</t>
  </si>
  <si>
    <t>Customer 1067</t>
  </si>
  <si>
    <t>CUST1030</t>
  </si>
  <si>
    <t>Customer 1144</t>
  </si>
  <si>
    <t>Lucknow</t>
  </si>
  <si>
    <t>Headphones</t>
  </si>
  <si>
    <t>CUST1137</t>
  </si>
  <si>
    <t>Customer 1164</t>
  </si>
  <si>
    <t>Pune</t>
  </si>
  <si>
    <t>CUST1046</t>
  </si>
  <si>
    <t>Customer 1114</t>
  </si>
  <si>
    <t>CUST1153</t>
  </si>
  <si>
    <t>Customer 1174</t>
  </si>
  <si>
    <t>Nagpur</t>
  </si>
  <si>
    <t>CUST1079</t>
  </si>
  <si>
    <t>Customer 1027</t>
  </si>
  <si>
    <t>CUST1122</t>
  </si>
  <si>
    <t>CUST1183</t>
  </si>
  <si>
    <t>Customer 1134</t>
  </si>
  <si>
    <t>CUST1067</t>
  </si>
  <si>
    <t>Customer 1191</t>
  </si>
  <si>
    <t>CUST1196</t>
  </si>
  <si>
    <t>Customer 1295</t>
  </si>
  <si>
    <t>CUST1214</t>
  </si>
  <si>
    <t>Customer 1273</t>
  </si>
  <si>
    <t>CUST1187</t>
  </si>
  <si>
    <t>Customer 1031</t>
  </si>
  <si>
    <t>Mumbai</t>
  </si>
  <si>
    <t>CUST1106</t>
  </si>
  <si>
    <t>Customer 1167</t>
  </si>
  <si>
    <t>Customer 1036</t>
  </si>
  <si>
    <t>Customer 1138</t>
  </si>
  <si>
    <t>CUST1096</t>
  </si>
  <si>
    <t>Customer 1190</t>
  </si>
  <si>
    <t>Smartphone</t>
  </si>
  <si>
    <t>CUST1188</t>
  </si>
  <si>
    <t>Customer 1154</t>
  </si>
  <si>
    <t>Customer 1172</t>
  </si>
  <si>
    <t>CUST1271</t>
  </si>
  <si>
    <t>Customer 1089</t>
  </si>
  <si>
    <t>CUST1279</t>
  </si>
  <si>
    <t>Customer 1217</t>
  </si>
  <si>
    <t>CUST1297</t>
  </si>
  <si>
    <t>Customer 1181</t>
  </si>
  <si>
    <t>CUST1209</t>
  </si>
  <si>
    <t>Mouse</t>
  </si>
  <si>
    <t>CUST1085</t>
  </si>
  <si>
    <t>Customer 1003</t>
  </si>
  <si>
    <t>Jaipur</t>
  </si>
  <si>
    <t>CUST1102</t>
  </si>
  <si>
    <t>Customer 1226</t>
  </si>
  <si>
    <t>CUST1145</t>
  </si>
  <si>
    <t>Customer 1208</t>
  </si>
  <si>
    <t>CUST1059</t>
  </si>
  <si>
    <t>Customer 1243</t>
  </si>
  <si>
    <t>Customer 1166</t>
  </si>
  <si>
    <t>CUST1061</t>
  </si>
  <si>
    <t>Customer 1072</t>
  </si>
  <si>
    <t>CUST1277</t>
  </si>
  <si>
    <t>Customer 1059</t>
  </si>
  <si>
    <t>CUST1253</t>
  </si>
  <si>
    <t>Customer 1122</t>
  </si>
  <si>
    <t>CUST1127</t>
  </si>
  <si>
    <t>Customer 1168</t>
  </si>
  <si>
    <t>CUST1057</t>
  </si>
  <si>
    <t>Customer 1218</t>
  </si>
  <si>
    <t>CUST1272</t>
  </si>
  <si>
    <t>Customer 1009</t>
  </si>
  <si>
    <t>CUST1223</t>
  </si>
  <si>
    <t>Customer 1188</t>
  </si>
  <si>
    <t>CUST1154</t>
  </si>
  <si>
    <t>Customer 1149</t>
  </si>
  <si>
    <t>CUST1226</t>
  </si>
  <si>
    <t>CUST1039</t>
  </si>
  <si>
    <t>Customer 1126</t>
  </si>
  <si>
    <t>CUST1063</t>
  </si>
  <si>
    <t>Customer 1239</t>
  </si>
  <si>
    <t>Customer 1220</t>
  </si>
  <si>
    <t>CUST1069</t>
  </si>
  <si>
    <t>Customer 1215</t>
  </si>
  <si>
    <t>Customer 1193</t>
  </si>
  <si>
    <t>CUST1090</t>
  </si>
  <si>
    <t>Customer 1296</t>
  </si>
  <si>
    <t>CUST1107</t>
  </si>
  <si>
    <t>Customer 1117</t>
  </si>
  <si>
    <t>CUST1082</t>
  </si>
  <si>
    <t>Customer 1069</t>
  </si>
  <si>
    <t>CUST1238</t>
  </si>
  <si>
    <t>Customer 1158</t>
  </si>
  <si>
    <t>CUST1213</t>
  </si>
  <si>
    <t>CUST1120</t>
  </si>
  <si>
    <t>CUST1155</t>
  </si>
  <si>
    <t>Customer 1186</t>
  </si>
  <si>
    <t>CUST1109</t>
  </si>
  <si>
    <t>Customer 1107</t>
  </si>
  <si>
    <t>CUST1234</t>
  </si>
  <si>
    <t>Customer 1175</t>
  </si>
  <si>
    <t>CUST1083</t>
  </si>
  <si>
    <t>Customer 1185</t>
  </si>
  <si>
    <t>CUST1053</t>
  </si>
  <si>
    <t>Customer 1151</t>
  </si>
  <si>
    <t>CUST1160</t>
  </si>
  <si>
    <t>Customer 1084</t>
  </si>
  <si>
    <t>CUST1143</t>
  </si>
  <si>
    <t>Customer 1245</t>
  </si>
  <si>
    <t>CUST1141</t>
  </si>
  <si>
    <t>CUST1267</t>
  </si>
  <si>
    <t>Customer 1013</t>
  </si>
  <si>
    <t>CUST1058</t>
  </si>
  <si>
    <t>CUST1151</t>
  </si>
  <si>
    <t>Customer 1221</t>
  </si>
  <si>
    <t>CUST1035</t>
  </si>
  <si>
    <t>Customer 1125</t>
  </si>
  <si>
    <t>CUST1149</t>
  </si>
  <si>
    <t>Customer 1028</t>
  </si>
  <si>
    <t>CUST1202</t>
  </si>
  <si>
    <t>Customer 1093</t>
  </si>
  <si>
    <t>Customer 1232</t>
  </si>
  <si>
    <t>CUST1115</t>
  </si>
  <si>
    <t>Customer 1090</t>
  </si>
  <si>
    <t>CUST1295</t>
  </si>
  <si>
    <t>Customer 1108</t>
  </si>
  <si>
    <t>Customer 1023</t>
  </si>
  <si>
    <t>Customer 1165</t>
  </si>
  <si>
    <t>Feb</t>
  </si>
  <si>
    <t>CUST1110</t>
  </si>
  <si>
    <t>Customer 1033</t>
  </si>
  <si>
    <t>CUST1206</t>
  </si>
  <si>
    <t>Customer 1081</t>
  </si>
  <si>
    <t>CUST1001</t>
  </si>
  <si>
    <t>Customer 1106</t>
  </si>
  <si>
    <t>CUST1048</t>
  </si>
  <si>
    <t>Customer 1183</t>
  </si>
  <si>
    <t>CUST1131</t>
  </si>
  <si>
    <t>Customer 1255</t>
  </si>
  <si>
    <t>CUST1097</t>
  </si>
  <si>
    <t>Customer 1289</t>
  </si>
  <si>
    <t>CUST1169</t>
  </si>
  <si>
    <t>Customer 1283</t>
  </si>
  <si>
    <t>CUST1025</t>
  </si>
  <si>
    <t>CUST1094</t>
  </si>
  <si>
    <t>Customer 1095</t>
  </si>
  <si>
    <t>Customer 1184</t>
  </si>
  <si>
    <t>Customer 1132</t>
  </si>
  <si>
    <t>CUST1229</t>
  </si>
  <si>
    <t>Customer 1074</t>
  </si>
  <si>
    <t>CUST1147</t>
  </si>
  <si>
    <t>Customer 1112</t>
  </si>
  <si>
    <t>Customer 1097</t>
  </si>
  <si>
    <t>CUST1157</t>
  </si>
  <si>
    <t>Customer 1015</t>
  </si>
  <si>
    <t>CUST1254</t>
  </si>
  <si>
    <t>CUST1212</t>
  </si>
  <si>
    <t>Customer 1101</t>
  </si>
  <si>
    <t>CUST1021</t>
  </si>
  <si>
    <t>Customer 1042</t>
  </si>
  <si>
    <t>CUST1028</t>
  </si>
  <si>
    <t>Customer 1260</t>
  </si>
  <si>
    <t>CUST1074</t>
  </si>
  <si>
    <t>Customer 1278</t>
  </si>
  <si>
    <t>CUST1264</t>
  </si>
  <si>
    <t>Customer 1071</t>
  </si>
  <si>
    <t>CUST1062</t>
  </si>
  <si>
    <t>CUST1015</t>
  </si>
  <si>
    <t>Customer 1153</t>
  </si>
  <si>
    <t>CUST1119</t>
  </si>
  <si>
    <t>Customer 1019</t>
  </si>
  <si>
    <t>CUST1038</t>
  </si>
  <si>
    <t>Customer 1142</t>
  </si>
  <si>
    <t>Customer 1030</t>
  </si>
  <si>
    <t>CUST1130</t>
  </si>
  <si>
    <t>Customer 1293</t>
  </si>
  <si>
    <t>CUST1126</t>
  </si>
  <si>
    <t>CUST1292</t>
  </si>
  <si>
    <t>Customer 1078</t>
  </si>
  <si>
    <t>CUST1265</t>
  </si>
  <si>
    <t>Customer 1145</t>
  </si>
  <si>
    <t>CUST1173</t>
  </si>
  <si>
    <t>Customer 1082</t>
  </si>
  <si>
    <t>CUST1019</t>
  </si>
  <si>
    <t>Customer 1214</t>
  </si>
  <si>
    <t>CUST1216</t>
  </si>
  <si>
    <t>Customer 1176</t>
  </si>
  <si>
    <t>CUST1027</t>
  </si>
  <si>
    <t>Customer 1157</t>
  </si>
  <si>
    <t>CUST1084</t>
  </si>
  <si>
    <t>CUST1276</t>
  </si>
  <si>
    <t>CUST1012</t>
  </si>
  <si>
    <t>Customer 1209</t>
  </si>
  <si>
    <t>CUST1029</t>
  </si>
  <si>
    <t>Customer 1272</t>
  </si>
  <si>
    <t>Customer 1137</t>
  </si>
  <si>
    <t>CUST1091</t>
  </si>
  <si>
    <t>CUST1172</t>
  </si>
  <si>
    <t>Customer 1109</t>
  </si>
  <si>
    <t>CUST1142</t>
  </si>
  <si>
    <t>CUST1291</t>
  </si>
  <si>
    <t>CUST1290</t>
  </si>
  <si>
    <t>Customer 1251</t>
  </si>
  <si>
    <t>CUST1259</t>
  </si>
  <si>
    <t>Customer 1130</t>
  </si>
  <si>
    <t>CUST1251</t>
  </si>
  <si>
    <t>Customer 1086</t>
  </si>
  <si>
    <t>CUST1164</t>
  </si>
  <si>
    <t>CUST1100</t>
  </si>
  <si>
    <t>Customer 1204</t>
  </si>
  <si>
    <t>Mar</t>
  </si>
  <si>
    <t>CUST1026</t>
  </si>
  <si>
    <t>Customer 1292</t>
  </si>
  <si>
    <t>Customer 1051</t>
  </si>
  <si>
    <t>Customer 1216</t>
  </si>
  <si>
    <t>CUST1049</t>
  </si>
  <si>
    <t>Customer 1127</t>
  </si>
  <si>
    <t>CUST1185</t>
  </si>
  <si>
    <t>Customer 1029</t>
  </si>
  <si>
    <t>CUST1282</t>
  </si>
  <si>
    <t>Customer 1121</t>
  </si>
  <si>
    <t>CUST1284</t>
  </si>
  <si>
    <t>CUST1134</t>
  </si>
  <si>
    <t>CUST1008</t>
  </si>
  <si>
    <t>Customer 1076</t>
  </si>
  <si>
    <t>CUST1070</t>
  </si>
  <si>
    <t>Customer 1120</t>
  </si>
  <si>
    <t>CUST1135</t>
  </si>
  <si>
    <t>Customer 1055</t>
  </si>
  <si>
    <t>Customer 1102</t>
  </si>
  <si>
    <t>Customer 1002</t>
  </si>
  <si>
    <t>CUST1045</t>
  </si>
  <si>
    <t>CUST1047</t>
  </si>
  <si>
    <t>CUST1086</t>
  </si>
  <si>
    <t>Customer 1274</t>
  </si>
  <si>
    <t>CUST1129</t>
  </si>
  <si>
    <t>Customer 1196</t>
  </si>
  <si>
    <t>Customer 1250</t>
  </si>
  <si>
    <t>Customer 1160</t>
  </si>
  <si>
    <t>Customer 1271</t>
  </si>
  <si>
    <t>CUST1113</t>
  </si>
  <si>
    <t>Customer 1189</t>
  </si>
  <si>
    <t>CUST1171</t>
  </si>
  <si>
    <t>Customer 1228</t>
  </si>
  <si>
    <t>Customer 1065</t>
  </si>
  <si>
    <t>CUST1133</t>
  </si>
  <si>
    <t>CUST1123</t>
  </si>
  <si>
    <t>CUST1076</t>
  </si>
  <si>
    <t>Customer 1201</t>
  </si>
  <si>
    <t>CUST1248</t>
  </si>
  <si>
    <t>CUST1249</t>
  </si>
  <si>
    <t>Customer 1091</t>
  </si>
  <si>
    <t>CUST1112</t>
  </si>
  <si>
    <t>CUST1103</t>
  </si>
  <si>
    <t>CUST1165</t>
  </si>
  <si>
    <t>CUST1177</t>
  </si>
  <si>
    <t>Customer 1061</t>
  </si>
  <si>
    <t>CUST1257</t>
  </si>
  <si>
    <t>Customer 1131</t>
  </si>
  <si>
    <t>CUST1161</t>
  </si>
  <si>
    <t>Customer 1005</t>
  </si>
  <si>
    <t>CUST1255</t>
  </si>
  <si>
    <t>Customer 1265</t>
  </si>
  <si>
    <t>CUST1075</t>
  </si>
  <si>
    <t>CUST1150</t>
  </si>
  <si>
    <t>Customer 1048</t>
  </si>
  <si>
    <t>Customer 1026</t>
  </si>
  <si>
    <t>CUST1114</t>
  </si>
  <si>
    <t>Customer 1040</t>
  </si>
  <si>
    <t>Customer 1169</t>
  </si>
  <si>
    <t>CUST1208</t>
  </si>
  <si>
    <t>Customer 1022</t>
  </si>
  <si>
    <t>CUST1166</t>
  </si>
  <si>
    <t>Customer 1284</t>
  </si>
  <si>
    <t>CUST1020</t>
  </si>
  <si>
    <t>Customer 1050</t>
  </si>
  <si>
    <t>CUST1278</t>
  </si>
  <si>
    <t>CUST1244</t>
  </si>
  <si>
    <t>CUST1211</t>
  </si>
  <si>
    <t>Customer 1077</t>
  </si>
  <si>
    <t>CUST1174</t>
  </si>
  <si>
    <t>CUST1236</t>
  </si>
  <si>
    <t>Apr</t>
  </si>
  <si>
    <t>Q2</t>
  </si>
  <si>
    <t>Customer 1083</t>
  </si>
  <si>
    <t>Customer 1264</t>
  </si>
  <si>
    <t>CUST1192</t>
  </si>
  <si>
    <t>Customer 1241</t>
  </si>
  <si>
    <t>CUST1013</t>
  </si>
  <si>
    <t>CUST1222</t>
  </si>
  <si>
    <t>Customer 1225</t>
  </si>
  <si>
    <t>CUST1088</t>
  </si>
  <si>
    <t>Customer 1044</t>
  </si>
  <si>
    <t>CUST1036</t>
  </si>
  <si>
    <t>CUST1018</t>
  </si>
  <si>
    <t>CUST1117</t>
  </si>
  <si>
    <t>Customer 1199</t>
  </si>
  <si>
    <t>CUST1055</t>
  </si>
  <si>
    <t>Customer 1008</t>
  </si>
  <si>
    <t>CUST1286</t>
  </si>
  <si>
    <t>Customer 1249</t>
  </si>
  <si>
    <t>CUST1031</t>
  </si>
  <si>
    <t>CUST1116</t>
  </si>
  <si>
    <t>Customer 1270</t>
  </si>
  <si>
    <t>CUST1252</t>
  </si>
  <si>
    <t>CUST1260</t>
  </si>
  <si>
    <t>Customer 1246</t>
  </si>
  <si>
    <t>Customer 1133</t>
  </si>
  <si>
    <t>Customer 1171</t>
  </si>
  <si>
    <t>Customer 1257</t>
  </si>
  <si>
    <t>CUST1273</t>
  </si>
  <si>
    <t>Customer 1014</t>
  </si>
  <si>
    <t>CUST1224</t>
  </si>
  <si>
    <t>Customer 1010</t>
  </si>
  <si>
    <t>Customer 1227</t>
  </si>
  <si>
    <t>Customer 1087</t>
  </si>
  <si>
    <t>Customer 1266</t>
  </si>
  <si>
    <t>CUST1032</t>
  </si>
  <si>
    <t>CUST1181</t>
  </si>
  <si>
    <t>CUST1139</t>
  </si>
  <si>
    <t>Customer 1299</t>
  </si>
  <si>
    <t>CUST1128</t>
  </si>
  <si>
    <t>Customer 1195</t>
  </si>
  <si>
    <t>CUST1162</t>
  </si>
  <si>
    <t>Customer 1206</t>
  </si>
  <si>
    <t>Customer 1290</t>
  </si>
  <si>
    <t>Customer 1192</t>
  </si>
  <si>
    <t>CUST1050</t>
  </si>
  <si>
    <t>Customer 1105</t>
  </si>
  <si>
    <t>Customer 1237</t>
  </si>
  <si>
    <t>CUST1269</t>
  </si>
  <si>
    <t>CUST1037</t>
  </si>
  <si>
    <t>Customer 1017</t>
  </si>
  <si>
    <t>Customer 1063</t>
  </si>
  <si>
    <t>Customer 1021</t>
  </si>
  <si>
    <t>Customer 1058</t>
  </si>
  <si>
    <t>CUST1104</t>
  </si>
  <si>
    <t>Customer 1118</t>
  </si>
  <si>
    <t>Customer 1281</t>
  </si>
  <si>
    <t>Customer 1075</t>
  </si>
  <si>
    <t>CUST1191</t>
  </si>
  <si>
    <t>Customer 1170</t>
  </si>
  <si>
    <t>CUST1228</t>
  </si>
  <si>
    <t>CUST1263</t>
  </si>
  <si>
    <t>Customer 1258</t>
  </si>
  <si>
    <t>Customer 1088</t>
  </si>
  <si>
    <t>CUST1005</t>
  </si>
  <si>
    <t>CUST1168</t>
  </si>
  <si>
    <t>CUST1233</t>
  </si>
  <si>
    <t>CUST1293</t>
  </si>
  <si>
    <t>Customer 1244</t>
  </si>
  <si>
    <t>Customer 1211</t>
  </si>
  <si>
    <t>Customer 1152</t>
  </si>
  <si>
    <t>May</t>
  </si>
  <si>
    <t>CUST1125</t>
  </si>
  <si>
    <t>CUST1275</t>
  </si>
  <si>
    <t>CUST1175</t>
  </si>
  <si>
    <t>Customer 1179</t>
  </si>
  <si>
    <t>CUST1167</t>
  </si>
  <si>
    <t>Customer 1222</t>
  </si>
  <si>
    <t>CUST1299</t>
  </si>
  <si>
    <t>CUST1051</t>
  </si>
  <si>
    <t>Customer 1178</t>
  </si>
  <si>
    <t>Customer 1140</t>
  </si>
  <si>
    <t>CUST1071</t>
  </si>
  <si>
    <t>Customer 1254</t>
  </si>
  <si>
    <t>CUST1197</t>
  </si>
  <si>
    <t>Customer 1276</t>
  </si>
  <si>
    <t>Customer 1096</t>
  </si>
  <si>
    <t>Customer 1147</t>
  </si>
  <si>
    <t>CUST1089</t>
  </si>
  <si>
    <t>Customer 1213</t>
  </si>
  <si>
    <t>CUST1105</t>
  </si>
  <si>
    <t>CUST1237</t>
  </si>
  <si>
    <t>CUST1121</t>
  </si>
  <si>
    <t>Customer 1197</t>
  </si>
  <si>
    <t>CUST1111</t>
  </si>
  <si>
    <t>Customer 1248</t>
  </si>
  <si>
    <t>Customer 1182</t>
  </si>
  <si>
    <t>CUST1227</t>
  </si>
  <si>
    <t>CUST1108</t>
  </si>
  <si>
    <t>Customer 1018</t>
  </si>
  <si>
    <t>CUST1148</t>
  </si>
  <si>
    <t>CUST1042</t>
  </si>
  <si>
    <t>Customer 1156</t>
  </si>
  <si>
    <t>CUST1024</t>
  </si>
  <si>
    <t>CUST1207</t>
  </si>
  <si>
    <t>Customer 1177</t>
  </si>
  <si>
    <t>Customer 1111</t>
  </si>
  <si>
    <t>CUST1006</t>
  </si>
  <si>
    <t>CUST1182</t>
  </si>
  <si>
    <t>Customer 1001</t>
  </si>
  <si>
    <t>Customer 1068</t>
  </si>
  <si>
    <t>Customer 1234</t>
  </si>
  <si>
    <t>CUST1180</t>
  </si>
  <si>
    <t>Customer 1200</t>
  </si>
  <si>
    <t>CUST1052</t>
  </si>
  <si>
    <t>Customer 1115</t>
  </si>
  <si>
    <t>CUST1195</t>
  </si>
  <si>
    <t>Customer 1262</t>
  </si>
  <si>
    <t>CUST1268</t>
  </si>
  <si>
    <t>Customer 1037</t>
  </si>
  <si>
    <t>CUST1101</t>
  </si>
  <si>
    <t>Customer 1066</t>
  </si>
  <si>
    <t>Customer 1064</t>
  </si>
  <si>
    <t>CUST1159</t>
  </si>
  <si>
    <t>CUST1064</t>
  </si>
  <si>
    <t>CUST1118</t>
  </si>
  <si>
    <t>CUST1204</t>
  </si>
  <si>
    <t>Customer 1267</t>
  </si>
  <si>
    <t>CUST1066</t>
  </si>
  <si>
    <t>Customer 1110</t>
  </si>
  <si>
    <t>CUST1132</t>
  </si>
  <si>
    <t>Customer 1143</t>
  </si>
  <si>
    <t>Jun</t>
  </si>
  <si>
    <t>CUST1017</t>
  </si>
  <si>
    <t>CUST1158</t>
  </si>
  <si>
    <t>Customer 1139</t>
  </si>
  <si>
    <t>Customer 1032</t>
  </si>
  <si>
    <t>CUST1073</t>
  </si>
  <si>
    <t>Customer 1012</t>
  </si>
  <si>
    <t>CUST1146</t>
  </si>
  <si>
    <t>CUST1098</t>
  </si>
  <si>
    <t>CUST1163</t>
  </si>
  <si>
    <t>Customer 1205</t>
  </si>
  <si>
    <t>CUST1009</t>
  </si>
  <si>
    <t>Customer 1233</t>
  </si>
  <si>
    <t>CUST1179</t>
  </si>
  <si>
    <t>CUST1270</t>
  </si>
  <si>
    <t>CUST1287</t>
  </si>
  <si>
    <t>Customer 1123</t>
  </si>
  <si>
    <t>CUST1178</t>
  </si>
  <si>
    <t>Customer 1141</t>
  </si>
  <si>
    <t>CUST1201</t>
  </si>
  <si>
    <t>Customer 1275</t>
  </si>
  <si>
    <t>CUST1099</t>
  </si>
  <si>
    <t>Customer 1113</t>
  </si>
  <si>
    <t>CUST1289</t>
  </si>
  <si>
    <t>Customer 1253</t>
  </si>
  <si>
    <t>Customer 1207</t>
  </si>
  <si>
    <t>Customer 1085</t>
  </si>
  <si>
    <t>CUST1274</t>
  </si>
  <si>
    <t>Customer 1286</t>
  </si>
  <si>
    <t>Customer 1150</t>
  </si>
  <si>
    <t>Customer 1103</t>
  </si>
  <si>
    <t>Customer 1203</t>
  </si>
  <si>
    <t>CUST1242</t>
  </si>
  <si>
    <t>Customer 1119</t>
  </si>
  <si>
    <t>CUST1288</t>
  </si>
  <si>
    <t>Customer 1268</t>
  </si>
  <si>
    <t>CUST1231</t>
  </si>
  <si>
    <t>Customer 1038</t>
  </si>
  <si>
    <t>Customer 1041</t>
  </si>
  <si>
    <t>Jul</t>
  </si>
  <si>
    <t>Q3</t>
  </si>
  <si>
    <t>Customer 1282</t>
  </si>
  <si>
    <t>CUST1230</t>
  </si>
  <si>
    <t>CUST1004</t>
  </si>
  <si>
    <t>Customer 1047</t>
  </si>
  <si>
    <t>Customer 1046</t>
  </si>
  <si>
    <t>Customer 1116</t>
  </si>
  <si>
    <t>CUST1189</t>
  </si>
  <si>
    <t>CUST1283</t>
  </si>
  <si>
    <t>Customer 1136</t>
  </si>
  <si>
    <t>CUST1203</t>
  </si>
  <si>
    <t>Customer 1098</t>
  </si>
  <si>
    <t>Customer 1049</t>
  </si>
  <si>
    <t>Customer 1252</t>
  </si>
  <si>
    <t>CUST1221</t>
  </si>
  <si>
    <t>Customer 1060</t>
  </si>
  <si>
    <t>Customer 1080</t>
  </si>
  <si>
    <t>CUST1298</t>
  </si>
  <si>
    <t>Customer 1240</t>
  </si>
  <si>
    <t>Customer 1070</t>
  </si>
  <si>
    <t>CUST1239</t>
  </si>
  <si>
    <t>CUST1040</t>
  </si>
  <si>
    <t>CUST1220</t>
  </si>
  <si>
    <t>Customer 1288</t>
  </si>
  <si>
    <t>CUST1041</t>
  </si>
  <si>
    <t>Customer 1173</t>
  </si>
  <si>
    <t>Customer 1039</t>
  </si>
  <si>
    <t>Aug</t>
  </si>
  <si>
    <t>CUST1256</t>
  </si>
  <si>
    <t>Customer 1135</t>
  </si>
  <si>
    <t>CUST1285</t>
  </si>
  <si>
    <t>Customer 1235</t>
  </si>
  <si>
    <t>CUST1011</t>
  </si>
  <si>
    <t>CUST1080</t>
  </si>
  <si>
    <t>CUST1056</t>
  </si>
  <si>
    <t>Customer 1187</t>
  </si>
  <si>
    <t>Customer 1104</t>
  </si>
  <si>
    <t>Customer 1092</t>
  </si>
  <si>
    <t>Customer 1279</t>
  </si>
  <si>
    <t>CUST1065</t>
  </si>
  <si>
    <t>CUST1023</t>
  </si>
  <si>
    <t>CUST1190</t>
  </si>
  <si>
    <t>Customer 1052</t>
  </si>
  <si>
    <t>Customer 1146</t>
  </si>
  <si>
    <t>CUST1266</t>
  </si>
  <si>
    <t>Customer 1099</t>
  </si>
  <si>
    <t>CUST1170</t>
  </si>
  <si>
    <t>CUST1124</t>
  </si>
  <si>
    <t>CUST1262</t>
  </si>
  <si>
    <t>CUST1281</t>
  </si>
  <si>
    <t>CUST1077</t>
  </si>
  <si>
    <t>CUST1014</t>
  </si>
  <si>
    <t>CUST1193</t>
  </si>
  <si>
    <t>Customer 1129</t>
  </si>
  <si>
    <t>Customer 1287</t>
  </si>
  <si>
    <t>Customer 1025</t>
  </si>
  <si>
    <t>CUST1205</t>
  </si>
  <si>
    <t>Customer 1198</t>
  </si>
  <si>
    <t>Customer 1298</t>
  </si>
  <si>
    <t>CUST1232</t>
  </si>
  <si>
    <t>Customer 1277</t>
  </si>
  <si>
    <t>CUST1002</t>
  </si>
  <si>
    <t>CUST1241</t>
  </si>
  <si>
    <t>Customer 1043</t>
  </si>
  <si>
    <t>Sep</t>
  </si>
  <si>
    <t>CUST1054</t>
  </si>
  <si>
    <t>Customer 1155</t>
  </si>
  <si>
    <t>Customer 1162</t>
  </si>
  <si>
    <t>CUST1043</t>
  </si>
  <si>
    <t>CUST1095</t>
  </si>
  <si>
    <t>Customer 1016</t>
  </si>
  <si>
    <t>CUST1294</t>
  </si>
  <si>
    <t>Customer 1148</t>
  </si>
  <si>
    <t>Customer 1159</t>
  </si>
  <si>
    <t>CUST1072</t>
  </si>
  <si>
    <t>CUST1235</t>
  </si>
  <si>
    <t>Customer 1263</t>
  </si>
  <si>
    <t>Customer 1057</t>
  </si>
  <si>
    <t>Customer 1223</t>
  </si>
  <si>
    <t>Customer 1053</t>
  </si>
  <si>
    <t>CUST1296</t>
  </si>
  <si>
    <t>Customer 1247</t>
  </si>
  <si>
    <t>CUST1033</t>
  </si>
  <si>
    <t>Oct</t>
  </si>
  <si>
    <t>Q4</t>
  </si>
  <si>
    <t>Customer 1202</t>
  </si>
  <si>
    <t>Customer 1224</t>
  </si>
  <si>
    <t>CUST1258</t>
  </si>
  <si>
    <t>CUST1081</t>
  </si>
  <si>
    <t>Customer 1024</t>
  </si>
  <si>
    <t>CUST1087</t>
  </si>
  <si>
    <t>Customer 1180</t>
  </si>
  <si>
    <t>Customer 1285</t>
  </si>
  <si>
    <t>Customer 1238</t>
  </si>
  <si>
    <t>Customer 1035</t>
  </si>
  <si>
    <t>Customer 1269</t>
  </si>
  <si>
    <t>CUST1225</t>
  </si>
  <si>
    <t>Nov</t>
  </si>
  <si>
    <t>CUST1007</t>
  </si>
  <si>
    <t>Customer 1300</t>
  </si>
  <si>
    <t>Customer 1242</t>
  </si>
  <si>
    <t>Customer 1100</t>
  </si>
  <si>
    <t>Customer 1004</t>
  </si>
  <si>
    <t>CUST1199</t>
  </si>
  <si>
    <t>CUST1219</t>
  </si>
  <si>
    <t>CUST1176</t>
  </si>
  <si>
    <t>CUST1010</t>
  </si>
  <si>
    <t>Dec</t>
  </si>
  <si>
    <t>CUST1068</t>
  </si>
  <si>
    <t>Customer 1230</t>
  </si>
  <si>
    <t>Customer 1229</t>
  </si>
  <si>
    <t>Customer 1256</t>
  </si>
  <si>
    <t>CUST1300</t>
  </si>
  <si>
    <t>CUST1092</t>
  </si>
  <si>
    <t>Customer 1045</t>
  </si>
  <si>
    <t>CUST1140</t>
  </si>
  <si>
    <t>Check</t>
  </si>
  <si>
    <t>Formula</t>
  </si>
  <si>
    <t>Total transaction rows</t>
  </si>
  <si>
    <t>Missing sales values</t>
  </si>
  <si>
    <t>Numeric sales values</t>
  </si>
  <si>
    <t>Minimum sales</t>
  </si>
  <si>
    <t>Maximum sales</t>
  </si>
  <si>
    <t>Negative profit records</t>
  </si>
  <si>
    <t>Zero or negative quantities</t>
  </si>
  <si>
    <t>Data Quality Summary</t>
  </si>
  <si>
    <t>Retail Sales Analytics</t>
  </si>
  <si>
    <t>Dataset</t>
  </si>
  <si>
    <t>Retail Sales Data (2025)</t>
  </si>
  <si>
    <t>Total Transactions</t>
  </si>
  <si>
    <t>Result</t>
  </si>
  <si>
    <t>Status</t>
  </si>
  <si>
    <t>Notes</t>
  </si>
  <si>
    <t>Transaction Count</t>
  </si>
  <si>
    <t>Passed</t>
  </si>
  <si>
    <t>Expected dataset size</t>
  </si>
  <si>
    <t>Missing Sales Values</t>
  </si>
  <si>
    <t>No missing Sales values</t>
  </si>
  <si>
    <t>Numeric Sales Values</t>
  </si>
  <si>
    <t>All Sales values are numeric</t>
  </si>
  <si>
    <t>Exact Duplicate Rows</t>
  </si>
  <si>
    <t>No exact duplicate rows found</t>
  </si>
  <si>
    <t>Minimum Sales</t>
  </si>
  <si>
    <t>Reviewed</t>
  </si>
  <si>
    <t>Minimum observed Sales value</t>
  </si>
  <si>
    <t>Maximum Sales</t>
  </si>
  <si>
    <t>Maximum value inspected and considered reasonable</t>
  </si>
  <si>
    <t>Negative Profit Records</t>
  </si>
  <si>
    <t>Loss-making transactions retained</t>
  </si>
  <si>
    <t>Zero or Negative Quantities</t>
  </si>
  <si>
    <t>No zero or negative quantities found</t>
  </si>
  <si>
    <t>Date and Numeric Formats</t>
  </si>
  <si>
    <t>Visually checked</t>
  </si>
  <si>
    <t>Formats appear correct on initial inspection</t>
  </si>
  <si>
    <r>
      <t>Retail Sales Analytics — KPI Summary</t>
    </r>
    <r>
      <rPr>
        <sz val="11"/>
        <color theme="1"/>
        <rFont val="Calibri"/>
        <family val="2"/>
        <scheme val="minor"/>
      </rPr>
      <t>.</t>
    </r>
  </si>
  <si>
    <t>KPI</t>
  </si>
  <si>
    <t>Value</t>
  </si>
  <si>
    <t>Business Meaning</t>
  </si>
  <si>
    <t>Total Sales
Sum of all sales revenue.</t>
  </si>
  <si>
    <t>Total Profit
Total profit across transactions.</t>
  </si>
  <si>
    <t>Profit Margin</t>
  </si>
  <si>
    <t>Profit Margin
Profit as a percentage of sales.</t>
  </si>
  <si>
    <t>Average Sales per Transaction
Average revenue per data row.</t>
  </si>
  <si>
    <t>Total Transactions
Number of data rows.</t>
  </si>
  <si>
    <t>Total Quantity
Total units sold.</t>
  </si>
  <si>
    <t>Row Labels</t>
  </si>
  <si>
    <t>Grand Total</t>
  </si>
  <si>
    <t>Sum of Sales</t>
  </si>
  <si>
    <t>Sum of Profit</t>
  </si>
  <si>
    <t>Highest sales and profit: Electronics
Highest profit margin: Lifestyle (20.30%)
Lowest sales and profit: Stationery
Overall profit margin: 19.55%</t>
  </si>
  <si>
    <t>Sum of Quantity</t>
  </si>
  <si>
    <t>Which product generates the highest sales?	=Laptop
Which product generates the highest profit?	=Laptop
Which product has the highest quantity sold?	=Office Chair — 196
Which product has the lowest sales?	=Notebook
Which product has the lowest profit?	=Notebook</t>
  </si>
  <si>
    <t>Count of Order_ID</t>
  </si>
  <si>
    <t>November was the strongest month
November generated the highest sales and profit in your dataset.
March was the weakest month
March had the lowest sales and profit. You can investigate this further later, but these figures alone do not explain why performance was lower.</t>
  </si>
  <si>
    <t>Qtr1</t>
  </si>
  <si>
    <t>Qtr2</t>
  </si>
  <si>
    <t>Qtr3</t>
  </si>
  <si>
    <t>Qtr4</t>
  </si>
  <si>
    <t xml:space="preserve">Best quarter: Q4
7,453,684.12
Sales · Profit: 1,525,745.40
Q4 generated the highest sales and profit, contributing approximately 27.9% of annual sales.
Lowest sales: Q2
6,183,485.42
Profit: 1,144,858.41
Q2 recorded the lowest sales and profit of the four quarters.
Sales improved in Q3 and Q4
Sales increased from Q2 through Q4, with Q4 outperforming all other quarters.
</t>
  </si>
  <si>
    <t>Progit Margin</t>
  </si>
  <si>
    <t>Business insights
Online generates more sales
Online sales are approximately 13.85 million, about 1.01 million higher than Store sales.
Store generates more profit
Store profit is approximately 2.64 million, around 56,491 higher than Online profit.
Store has the stronger profit margin
Store margin is 20.53%, compared with Online at 18.63%—a difference of approximately 1.90 percentage points.</t>
  </si>
  <si>
    <t>Highest sales: Corporate
Corporate generates approximately 9.45 million in sales, the highest of the three segments.
Highest profit: Home Office
Home Office generates approximately 1.84 million in profit, slightly above Corporate despite having lower sales.
Highest profit margin: Home Office
At 19.90%, Home Office has the strongest margin. Corporate has the lowest margin at approximately 19.35%.</t>
  </si>
  <si>
    <t>Highest sales and profit: Credit Card
Credit Card generates approximately 5.86 million in sales and 1.18 million in profit, the highest totals among the payment methods.
Highest profit margin: Cash
Cash has the highest margin at 21.44%, despite having the lowest sales total.
Most transactions: UPI
UPI records 217 transactions, the highest count, but has the lowest profit margin at 18.27%.</t>
  </si>
  <si>
    <t>Business Performance Overview | January–December 2025</t>
  </si>
  <si>
    <t>TOTAL SALES</t>
  </si>
  <si>
    <t>TOTAL PROFIT</t>
  </si>
  <si>
    <t>TOTAL QUANTITY</t>
  </si>
  <si>
    <t>PROFIT MARGIN</t>
  </si>
  <si>
    <t>TOTAL TRANSACTION</t>
  </si>
  <si>
    <t>AVERAGE SALES</t>
  </si>
  <si>
    <t>RETAIL SALES ANALYTICS DASHBOARD</t>
  </si>
  <si>
    <r>
      <rPr>
        <sz val="14"/>
        <color theme="1"/>
        <rFont val="Calibri"/>
        <family val="2"/>
        <scheme val="minor"/>
      </rPr>
      <t>Retail Sales Analytics — Business Insights</t>
    </r>
    <r>
      <rPr>
        <sz val="11"/>
        <color theme="1"/>
        <rFont val="Calibri"/>
        <family val="2"/>
        <scheme val="minor"/>
      </rPr>
      <t xml:space="preserve">
</t>
    </r>
    <r>
      <rPr>
        <sz val="12"/>
        <color theme="1"/>
        <rFont val="Calibri"/>
        <family val="2"/>
        <scheme val="minor"/>
      </rPr>
      <t xml:space="preserve">Reporting Period: January–December 2025
Dataset: 1,000 transaction rows
</t>
    </r>
    <r>
      <rPr>
        <sz val="11"/>
        <color theme="1"/>
        <rFont val="Calibri"/>
        <family val="2"/>
        <scheme val="minor"/>
      </rPr>
      <t xml:space="preserve">
</t>
    </r>
    <r>
      <rPr>
        <b/>
        <sz val="12"/>
        <color theme="1"/>
        <rFont val="Calibri"/>
        <family val="2"/>
        <scheme val="minor"/>
      </rPr>
      <t>1. Overall Business Performance</t>
    </r>
    <r>
      <rPr>
        <b/>
        <sz val="11"/>
        <color theme="1"/>
        <rFont val="Calibri"/>
        <family val="2"/>
        <scheme val="minor"/>
      </rPr>
      <t xml:space="preserve">
</t>
    </r>
    <r>
      <rPr>
        <sz val="11"/>
        <color theme="1"/>
        <rFont val="Calibri"/>
        <family val="2"/>
        <scheme val="minor"/>
      </rPr>
      <t xml:space="preserve">
Total Sales: ₹26,693,247.13
Total Profit: ₹5,218,087.13
Total Quantity Sold: 2,004 units
Average Sales per Transaction Row: ₹26,693.25
Overall Profit Margin: 19.55%
The business generated approximately ₹2.67 crore in sales and ₹52.18 lakh in profit during 2025, with an overall profit margin of 19.55%.
</t>
    </r>
    <r>
      <rPr>
        <b/>
        <sz val="12"/>
        <color theme="1"/>
        <rFont val="Calibri"/>
        <family val="2"/>
        <scheme val="minor"/>
      </rPr>
      <t>2. Regional Performance</t>
    </r>
    <r>
      <rPr>
        <sz val="11"/>
        <color theme="1"/>
        <rFont val="Calibri"/>
        <family val="2"/>
        <scheme val="minor"/>
      </rPr>
      <t xml:space="preserve">
West generated the highest sales at approximately ₹63.54 lakh.
South generated the highest profit at approximately ₹12.10 lakh.
North had the lowest sales at approximately ₹45.09 lakh.
Central had the lowest profit at approximately ₹8.29 lakh and the lowest regional profit margin, at 17.62%.
North recorded the highest regional profit margin, at approximately 20.61%.
Business implication: Investigate the factors contributing to Central's lower profitability. Study the practices, product mix and operating conditions in the better-performing regions before deciding where to invest in growth.
</t>
    </r>
    <r>
      <rPr>
        <b/>
        <sz val="12"/>
        <color theme="1"/>
        <rFont val="Calibri"/>
        <family val="2"/>
        <scheme val="minor"/>
      </rPr>
      <t>3. Category Performance</t>
    </r>
    <r>
      <rPr>
        <sz val="11"/>
        <color theme="1"/>
        <rFont val="Calibri"/>
        <family val="2"/>
        <scheme val="minor"/>
      </rPr>
      <t xml:space="preserve">
Electronics contributed approximately 82.9% of total sales.
Furniture generated approximately ₹7.12 lakh in profit.
Lifestyle recorded the highest category profit margin, at approximately 20.30%.
Stationery generated the lowest sales and profit among the five categories.
Business implication: Protect the availability and profitability of Electronics while evaluating opportunities to grow smaller categories. Assess whether Lifestyle's higher margin can be sustained as sales increase.
</t>
    </r>
    <r>
      <rPr>
        <b/>
        <sz val="12"/>
        <color theme="1"/>
        <rFont val="Calibri"/>
        <family val="2"/>
        <scheme val="minor"/>
      </rPr>
      <t>4. Product Performance</t>
    </r>
    <r>
      <rPr>
        <sz val="11"/>
        <color theme="1"/>
        <rFont val="Calibri"/>
        <family val="2"/>
        <scheme val="minor"/>
      </rPr>
      <t xml:space="preserve">
Laptop was the highest-selling product, generating approximately ₹1.00 crore in sales and ₹19.35 lakh in profit.
Smartphone ranked second in sales, generating approximately ₹65.68 lakh.
Laptop and Smartphone together contributed approximately 62.2% of total sales.
Notebook recorded the lowest product sales and profit.
Office Chair had the highest quantity sold, at 196 units.
Business implication: Monitor stock availability for Laptop and Smartphone because of their substantial contribution to revenue. Investigate Notebook demand and profitability before making inventory or product-range decisions.
</t>
    </r>
    <r>
      <rPr>
        <b/>
        <sz val="12"/>
        <color theme="1"/>
        <rFont val="Calibri"/>
        <family val="2"/>
        <scheme val="minor"/>
      </rPr>
      <t xml:space="preserve">5. Monthly and Quarterly Trends
</t>
    </r>
    <r>
      <rPr>
        <sz val="11"/>
        <color theme="1"/>
        <rFont val="Calibri"/>
        <family val="2"/>
        <scheme val="minor"/>
      </rPr>
      <t xml:space="preserve">
November recorded the highest monthly sales, at approximately ₹26.24 lakh, and the highest monthly profit, at approximately ₹5.27 lakh.
March recorded the lowest monthly sales and profit.
Q4 was the strongest quarter, generating approximately ₹74.54 lakh in sales and ₹15.26 lakh in profit.
Q2 was the weakest quarter by total sales and profit.
Q4 contributed approximately 27.9% of annual sales.
Business implication: Investigate the reasons behind the November and Q4 peaks. Plan inventory and promotional activity around demonstrated demand patterns, while examining the March and Q2 slowdown.
</t>
    </r>
    <r>
      <rPr>
        <b/>
        <sz val="12"/>
        <color theme="1"/>
        <rFont val="Calibri"/>
        <family val="2"/>
        <scheme val="minor"/>
      </rPr>
      <t>6. Sales Channel Performance</t>
    </r>
    <r>
      <rPr>
        <sz val="11"/>
        <color theme="1"/>
        <rFont val="Calibri"/>
        <family val="2"/>
        <scheme val="minor"/>
      </rPr>
      <t xml:space="preserve">
Online sales were approximately ₹1.385 crore, higher than Store sales of approximately ₹1.284 crore.
Store sales generated approximately ₹26.37 lakh in profit, compared with approximately ₹25.81 lakh for Online.
Store had a higher profit margin, approximately 20.53%, compared with Online at 18.63%.
Business implication: Review online discounts, fulfilment expenses and product mix to understand the lower online margin. Use the stronger store profitability as a benchmark while considering the online channel's larger sales contribution.
</t>
    </r>
    <r>
      <rPr>
        <b/>
        <sz val="12"/>
        <color theme="1"/>
        <rFont val="Calibri"/>
        <family val="2"/>
        <scheme val="minor"/>
      </rPr>
      <t>7. Customer Segment Performance</t>
    </r>
    <r>
      <rPr>
        <sz val="11"/>
        <color theme="1"/>
        <rFont val="Calibri"/>
        <family val="2"/>
        <scheme val="minor"/>
      </rPr>
      <t xml:space="preserve">
Corporate generated the highest sales, at approximately ₹94.51 lakh.
Home Office generated the highest profit, at approximately ₹18.43 lakh, and the highest segment profit margin, at approximately 19.90%.
Consumer generated approximately ₹79.79 lakh in sales.
Business implication: Explore opportunities to retain and grow Corporate sales while identifying the products and customer needs contributing to Home Office profitability.
</t>
    </r>
    <r>
      <rPr>
        <b/>
        <sz val="12"/>
        <color theme="1"/>
        <rFont val="Calibri"/>
        <family val="2"/>
        <scheme val="minor"/>
      </rPr>
      <t>8. Payment Method Performance</t>
    </r>
    <r>
      <rPr>
        <sz val="11"/>
        <color theme="1"/>
        <rFont val="Calibri"/>
        <family val="2"/>
        <scheme val="minor"/>
      </rPr>
      <t xml:space="preserve">
Credit Card generated the highest sales and profit among payment methods.
Cash had the highest payment-method profit margin, at approximately 21.44%.
UPI recorded the highest transaction-row count, at 217, but the lowest payment-method profit margin, at approximately 18.27%.
Business implication: Investigate differences in discounts, product mix and transaction values across payment methods. Do not assume that the payment method itself caused the margin differences.
</t>
    </r>
    <r>
      <rPr>
        <b/>
        <sz val="12"/>
        <color theme="1"/>
        <rFont val="Calibri"/>
        <family val="2"/>
        <scheme val="minor"/>
      </rPr>
      <t>9. Data Quality Observations</t>
    </r>
    <r>
      <rPr>
        <sz val="11"/>
        <color theme="1"/>
        <rFont val="Calibri"/>
        <family val="2"/>
        <scheme val="minor"/>
      </rPr>
      <t xml:space="preserve">
The dataset contains 1,000 transaction rows.
No missing Sales values were found.
No exact duplicate rows were found.
No zero or negative Quantity records were found.
Eighteen records had negative Profit values and were retained for investigation.
Business implication: Review negative-profit transactions to identify possible loss-making sales, discounts or other contributing factors. Negative profit is not automatically a data error.
</t>
    </r>
    <r>
      <rPr>
        <b/>
        <sz val="12"/>
        <color theme="1"/>
        <rFont val="Calibri"/>
        <family val="2"/>
        <scheme val="minor"/>
      </rPr>
      <t>10. Overall Recommendations</t>
    </r>
    <r>
      <rPr>
        <sz val="11"/>
        <color theme="1"/>
        <rFont val="Calibri"/>
        <family val="2"/>
        <scheme val="minor"/>
      </rPr>
      <t xml:space="preserve">
Review Central's profitability and identify opportunities to improve its margin.
Monitor inventory and profitability for Laptop and Smartphone.
Investigate November and Q4 sales drivers and plan inventory accordingly.
Examine online-channel costs and discounting to improve profitability.
Evaluate low-performing products and categories before changing inventory allocation.
Review negative-profit transactions and monitor margins regularly.
Use the interactive Excel dashboard to compare regions, categories, channels and customer segments.
</t>
    </r>
    <r>
      <rPr>
        <b/>
        <sz val="11"/>
        <color theme="1"/>
        <rFont val="Calibri"/>
        <family val="2"/>
        <scheme val="minor"/>
      </rPr>
      <t>Conclusion</t>
    </r>
    <r>
      <rPr>
        <sz val="11"/>
        <color theme="1"/>
        <rFont val="Calibri"/>
        <family val="2"/>
        <scheme val="minor"/>
      </rPr>
      <t xml:space="preserve">: </t>
    </r>
    <r>
      <rPr>
        <i/>
        <sz val="11"/>
        <color theme="1"/>
        <rFont val="Calibri"/>
        <family val="2"/>
        <scheme val="minor"/>
      </rPr>
      <t>The analysis indicates that Electronics, Laptop and Smartphone are major revenue contributors, while regional, channel and seasonal differences provide opportunities for further investigation. The recommendations should be validated with additional operational and cost data before major business decisions are made.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</si>
</sst>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43" formatCode="_(* #,##0.00_);_(* \(#,##0.00\);_(* &quot;-&quot;??_);_(@_)"/>
    <numFmt numFmtId="166" formatCode="0.0000%"/>
    <numFmt numFmtId="172" formatCode="_([$$-409]* #,##0.00_);_([$$-409]* \(#,##0.00\);_([$$-409]* &quot;-&quot;??_);_(@_)"/>
  </numFmts>
  <fonts count="12">
    <font>
      <sz val="11"/>
      <color theme="1"/>
      <name val="Calibri"/>
      <family val="2"/>
      <scheme val="minor"/>
    </font>
    <font>
      <sz val="11"/>
      <color theme="1"/>
      <name val="Calibri"/>
      <family val="2"/>
      <scheme val="minor"/>
    </font>
    <font>
      <b/>
      <sz val="11"/>
      <color theme="1"/>
      <name val="Calibri"/>
      <family val="2"/>
      <scheme val="minor"/>
    </font>
    <font>
      <sz val="10"/>
      <color theme="1"/>
      <name val="Arial Unicode MS"/>
    </font>
    <font>
      <sz val="12"/>
      <color theme="1"/>
      <name val="Calibri"/>
      <family val="2"/>
      <scheme val="minor"/>
    </font>
    <font>
      <sz val="14"/>
      <color theme="1"/>
      <name val="Calibri"/>
      <family val="2"/>
      <scheme val="minor"/>
    </font>
    <font>
      <b/>
      <sz val="22"/>
      <color theme="1"/>
      <name val="Calibri"/>
      <family val="2"/>
      <scheme val="minor"/>
    </font>
    <font>
      <b/>
      <sz val="12"/>
      <color theme="1"/>
      <name val="Calibri"/>
      <family val="2"/>
      <scheme val="minor"/>
    </font>
    <font>
      <b/>
      <sz val="14"/>
      <color theme="4" tint="-0.249977111117893"/>
      <name val="Calibri"/>
      <family val="2"/>
      <scheme val="minor"/>
    </font>
    <font>
      <sz val="16"/>
      <color theme="4" tint="-0.249977111117893"/>
      <name val="Calibri"/>
      <family val="2"/>
      <scheme val="minor"/>
    </font>
    <font>
      <sz val="11"/>
      <name val="Calibri"/>
      <family val="2"/>
      <scheme val="minor"/>
    </font>
    <font>
      <i/>
      <sz val="11"/>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tint="-0.249977111117893"/>
        <bgColor indexed="64"/>
      </patternFill>
    </fill>
    <fill>
      <patternFill patternType="solid">
        <fgColor theme="3"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ck">
        <color theme="1"/>
      </left>
      <right/>
      <top style="thick">
        <color theme="1"/>
      </top>
      <bottom/>
      <diagonal/>
    </border>
    <border>
      <left/>
      <right style="thick">
        <color theme="1"/>
      </right>
      <top style="thick">
        <color theme="1"/>
      </top>
      <bottom/>
      <diagonal/>
    </border>
    <border>
      <left style="thick">
        <color theme="1"/>
      </left>
      <right/>
      <top/>
      <bottom style="thick">
        <color theme="1"/>
      </bottom>
      <diagonal/>
    </border>
    <border>
      <left/>
      <right style="thick">
        <color theme="1"/>
      </right>
      <top/>
      <bottom style="thick">
        <color theme="1"/>
      </bottom>
      <diagonal/>
    </border>
    <border>
      <left/>
      <right/>
      <top style="thick">
        <color theme="1"/>
      </top>
      <bottom/>
      <diagonal/>
    </border>
    <border>
      <left/>
      <right/>
      <top/>
      <bottom style="thick">
        <color theme="1"/>
      </bottom>
      <diagonal/>
    </border>
  </borders>
  <cellStyleXfs count="4">
    <xf numFmtId="0" fontId="0" fillId="0" borderId="0"/>
    <xf numFmtId="9"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41">
    <xf numFmtId="0" fontId="0" fillId="0" borderId="0" xfId="0"/>
    <xf numFmtId="14" fontId="0" fillId="0" borderId="0" xfId="0" applyNumberFormat="1"/>
    <xf numFmtId="0" fontId="2" fillId="0" borderId="0" xfId="0" applyFont="1"/>
    <xf numFmtId="0" fontId="3" fillId="0" borderId="0" xfId="0" applyFont="1"/>
    <xf numFmtId="0" fontId="0" fillId="0" borderId="1" xfId="0" applyBorder="1"/>
    <xf numFmtId="0" fontId="0" fillId="0" borderId="1" xfId="0" applyBorder="1" applyAlignment="1">
      <alignment wrapText="1"/>
    </xf>
    <xf numFmtId="0" fontId="0" fillId="0" borderId="1" xfId="0" applyBorder="1" applyAlignment="1">
      <alignment vertical="center"/>
    </xf>
    <xf numFmtId="10" fontId="0" fillId="0" borderId="1" xfId="1" applyNumberFormat="1" applyFont="1" applyBorder="1" applyAlignment="1">
      <alignment vertical="center"/>
    </xf>
    <xf numFmtId="0" fontId="0" fillId="0" borderId="0" xfId="0" pivotButton="1"/>
    <xf numFmtId="0" fontId="0" fillId="0" borderId="0" xfId="0" applyAlignment="1">
      <alignment horizontal="left"/>
    </xf>
    <xf numFmtId="10" fontId="0" fillId="0" borderId="0" xfId="1" applyNumberFormat="1" applyFont="1"/>
    <xf numFmtId="0" fontId="2" fillId="2" borderId="2" xfId="0" applyFont="1" applyFill="1" applyBorder="1"/>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center" vertical="top" wrapText="1"/>
    </xf>
    <xf numFmtId="0" fontId="0" fillId="0" borderId="0" xfId="0" applyNumberFormat="1"/>
    <xf numFmtId="166" fontId="0" fillId="0" borderId="0" xfId="1" applyNumberFormat="1" applyFont="1"/>
    <xf numFmtId="2" fontId="0" fillId="0" borderId="0" xfId="0" applyNumberFormat="1"/>
    <xf numFmtId="0" fontId="6" fillId="3" borderId="0" xfId="0" applyFont="1" applyFill="1" applyAlignment="1">
      <alignment horizontal="center" vertical="center"/>
    </xf>
    <xf numFmtId="0" fontId="10" fillId="3" borderId="0" xfId="0" applyFont="1" applyFill="1" applyAlignment="1">
      <alignment horizontal="center" vertical="top"/>
    </xf>
    <xf numFmtId="0" fontId="3" fillId="3" borderId="0" xfId="0" applyFont="1" applyFill="1" applyAlignment="1">
      <alignment horizontal="center"/>
    </xf>
    <xf numFmtId="0" fontId="0" fillId="3" borderId="0" xfId="0" applyFill="1"/>
    <xf numFmtId="172" fontId="8" fillId="4" borderId="3" xfId="3" applyNumberFormat="1" applyFont="1" applyFill="1" applyBorder="1" applyAlignment="1">
      <alignment horizontal="center" vertical="center"/>
    </xf>
    <xf numFmtId="172" fontId="8" fillId="4" borderId="7" xfId="3" applyNumberFormat="1" applyFont="1" applyFill="1" applyBorder="1" applyAlignment="1">
      <alignment horizontal="center" vertical="center"/>
    </xf>
    <xf numFmtId="172" fontId="8" fillId="4" borderId="4" xfId="3" applyNumberFormat="1" applyFont="1" applyFill="1" applyBorder="1" applyAlignment="1">
      <alignment horizontal="center" vertical="center"/>
    </xf>
    <xf numFmtId="0" fontId="0" fillId="4" borderId="5" xfId="0" applyFill="1" applyBorder="1" applyAlignment="1">
      <alignment horizontal="center"/>
    </xf>
    <xf numFmtId="0" fontId="0" fillId="4" borderId="8" xfId="0" applyFill="1" applyBorder="1" applyAlignment="1">
      <alignment horizontal="center"/>
    </xf>
    <xf numFmtId="0" fontId="0" fillId="4" borderId="6" xfId="0" applyFill="1" applyBorder="1" applyAlignment="1">
      <alignment horizontal="center"/>
    </xf>
    <xf numFmtId="0" fontId="8" fillId="4" borderId="3"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4" xfId="0" applyFont="1" applyFill="1" applyBorder="1" applyAlignment="1">
      <alignment horizontal="center" vertical="center"/>
    </xf>
    <xf numFmtId="0" fontId="9" fillId="4" borderId="5" xfId="0" applyFont="1" applyFill="1" applyBorder="1" applyAlignment="1">
      <alignment horizontal="center"/>
    </xf>
    <xf numFmtId="0" fontId="9" fillId="4" borderId="8" xfId="0" applyFont="1" applyFill="1" applyBorder="1" applyAlignment="1">
      <alignment horizontal="center"/>
    </xf>
    <xf numFmtId="0" fontId="9" fillId="4" borderId="6" xfId="0" applyFont="1" applyFill="1" applyBorder="1" applyAlignment="1">
      <alignment horizontal="center"/>
    </xf>
    <xf numFmtId="0" fontId="8" fillId="4" borderId="3" xfId="0" applyFont="1" applyFill="1" applyBorder="1" applyAlignment="1">
      <alignment horizontal="center"/>
    </xf>
    <xf numFmtId="0" fontId="8" fillId="4" borderId="7" xfId="0" applyFont="1" applyFill="1" applyBorder="1" applyAlignment="1">
      <alignment horizontal="center"/>
    </xf>
    <xf numFmtId="0" fontId="8" fillId="4" borderId="4" xfId="0" applyFont="1" applyFill="1" applyBorder="1" applyAlignment="1">
      <alignment horizontal="center"/>
    </xf>
    <xf numFmtId="43" fontId="8" fillId="4" borderId="3" xfId="2" applyFont="1" applyFill="1" applyBorder="1" applyAlignment="1">
      <alignment horizontal="center"/>
    </xf>
    <xf numFmtId="43" fontId="8" fillId="4" borderId="7" xfId="2" applyFont="1" applyFill="1" applyBorder="1" applyAlignment="1">
      <alignment horizontal="center"/>
    </xf>
    <xf numFmtId="43" fontId="8" fillId="4" borderId="4" xfId="2" applyFont="1" applyFill="1" applyBorder="1" applyAlignment="1">
      <alignment horizontal="center"/>
    </xf>
    <xf numFmtId="10" fontId="9" fillId="4" borderId="5" xfId="0" applyNumberFormat="1" applyFont="1" applyFill="1" applyBorder="1" applyAlignment="1">
      <alignment horizontal="center"/>
    </xf>
  </cellXfs>
  <cellStyles count="4">
    <cellStyle name="Comma" xfId="2" builtinId="3"/>
    <cellStyle name="Currency" xfId="3" builtinId="4"/>
    <cellStyle name="Normal" xfId="0" builtinId="0"/>
    <cellStyle name="Percent" xfId="1" builtinId="5"/>
  </cellStyles>
  <dxfs count="18">
    <dxf>
      <border>
        <left style="thick">
          <color auto="1"/>
        </left>
        <right style="thick">
          <color auto="1"/>
        </right>
        <top style="thick">
          <color auto="1"/>
        </top>
        <bottom style="thick">
          <color auto="1"/>
        </bottom>
      </border>
    </dxf>
    <dxf>
      <border>
        <left style="thin">
          <color auto="1"/>
        </left>
        <right style="thin">
          <color auto="1"/>
        </right>
        <top style="thin">
          <color auto="1"/>
        </top>
        <bottom style="thin">
          <color auto="1"/>
        </bottom>
      </border>
    </dxf>
    <dxf>
      <fill>
        <patternFill>
          <bgColor theme="1"/>
        </patternFill>
      </fill>
      <border>
        <left style="thin">
          <color auto="1"/>
        </left>
        <right style="thin">
          <color auto="1"/>
        </right>
        <top style="thin">
          <color auto="1"/>
        </top>
        <bottom style="thin">
          <color auto="1"/>
        </bottom>
      </border>
    </dxf>
    <dxf>
      <numFmt numFmtId="2" formatCode="0.00"/>
    </dxf>
    <dxf>
      <numFmt numFmtId="2" formatCode="0.00"/>
    </dxf>
    <dxf>
      <font>
        <b/>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3" defaultTableStyle="TableStyleMedium2" defaultPivotStyle="PivotStyleLight16">
    <tableStyle name="Slicer Style 1" pivot="0" table="0" count="1" xr9:uid="{BC2D39CE-22A6-49FC-A32D-93601DCDC24A}">
      <tableStyleElement type="wholeTable" dxfId="2"/>
    </tableStyle>
    <tableStyle name="Slicer Style 2" pivot="0" table="0" count="1" xr9:uid="{E687C323-CCB9-4080-B6D1-069A5BF21122}">
      <tableStyleElement type="wholeTable" dxfId="1"/>
    </tableStyle>
    <tableStyle name="Slicer Style 3" pivot="0" table="0" count="1" xr9:uid="{48E59634-9091-49B2-A96B-CBAEC282E880}">
      <tableStyleElement type="wholeTable" dxfId="0"/>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[SalesData_Backup.xlsx]Monthly Sales Analysis!PivotTable3</c:name>
    <c:fmtId val="26"/>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Monthly Sales Trend — 2025.</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Analysis'!$B$3</c:f>
              <c:strCache>
                <c:ptCount val="1"/>
                <c:pt idx="0">
                  <c:v>Sum of Sales</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'Monthly Sales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Analysis'!$B$4:$B$16</c:f>
              <c:numCache>
                <c:formatCode>General</c:formatCode>
                <c:ptCount val="12"/>
                <c:pt idx="0">
                  <c:v>364376.78</c:v>
                </c:pt>
                <c:pt idx="1">
                  <c:v>231485.3</c:v>
                </c:pt>
                <c:pt idx="2">
                  <c:v>123912.29000000001</c:v>
                </c:pt>
                <c:pt idx="3">
                  <c:v>528408.52</c:v>
                </c:pt>
                <c:pt idx="4">
                  <c:v>245958.59999999998</c:v>
                </c:pt>
                <c:pt idx="5">
                  <c:v>285393.05000000005</c:v>
                </c:pt>
                <c:pt idx="6">
                  <c:v>632309.97000000009</c:v>
                </c:pt>
                <c:pt idx="7">
                  <c:v>645964.28999999992</c:v>
                </c:pt>
                <c:pt idx="8">
                  <c:v>663150.2100000002</c:v>
                </c:pt>
                <c:pt idx="9">
                  <c:v>407123.11999999994</c:v>
                </c:pt>
                <c:pt idx="10">
                  <c:v>600979.32999999996</c:v>
                </c:pt>
                <c:pt idx="11">
                  <c:v>1181959.8100000005</c:v>
                </c:pt>
              </c:numCache>
            </c:numRef>
          </c:val>
          <c:smooth val="0"/>
          <c:extLst>
            <c:ext xmlns:c16="http://schemas.microsoft.com/office/drawing/2014/chart" uri="{C3380CC4-5D6E-409C-BE32-E72D297353CC}">
              <c16:uniqueId val="{00000000-2D86-48E6-B3E3-C50AFACB2FAD}"/>
            </c:ext>
          </c:extLst>
        </c:ser>
        <c:ser>
          <c:idx val="1"/>
          <c:order val="1"/>
          <c:tx>
            <c:strRef>
              <c:f>'Monthly Sales Analysis'!$C$3</c:f>
              <c:strCache>
                <c:ptCount val="1"/>
                <c:pt idx="0">
                  <c:v>Sum of Profit</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'Monthly Sales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Analysis'!$C$4:$C$16</c:f>
              <c:numCache>
                <c:formatCode>General</c:formatCode>
                <c:ptCount val="12"/>
                <c:pt idx="0">
                  <c:v>65434.97</c:v>
                </c:pt>
                <c:pt idx="1">
                  <c:v>62472.390000000007</c:v>
                </c:pt>
                <c:pt idx="2">
                  <c:v>14560.23</c:v>
                </c:pt>
                <c:pt idx="3">
                  <c:v>90548.51999999999</c:v>
                </c:pt>
                <c:pt idx="4">
                  <c:v>57110.799999999996</c:v>
                </c:pt>
                <c:pt idx="5">
                  <c:v>59322.47</c:v>
                </c:pt>
                <c:pt idx="6">
                  <c:v>135648.67999999996</c:v>
                </c:pt>
                <c:pt idx="7">
                  <c:v>166400.07999999999</c:v>
                </c:pt>
                <c:pt idx="8">
                  <c:v>138188.56</c:v>
                </c:pt>
                <c:pt idx="9">
                  <c:v>70741.279999999999</c:v>
                </c:pt>
                <c:pt idx="10">
                  <c:v>106855.34</c:v>
                </c:pt>
                <c:pt idx="11">
                  <c:v>242767.09999999998</c:v>
                </c:pt>
              </c:numCache>
            </c:numRef>
          </c:val>
          <c:smooth val="0"/>
          <c:extLst>
            <c:ext xmlns:c16="http://schemas.microsoft.com/office/drawing/2014/chart" uri="{C3380CC4-5D6E-409C-BE32-E72D297353CC}">
              <c16:uniqueId val="{00000001-2D86-48E6-B3E3-C50AFACB2FAD}"/>
            </c:ext>
          </c:extLst>
        </c:ser>
        <c:ser>
          <c:idx val="2"/>
          <c:order val="2"/>
          <c:tx>
            <c:strRef>
              <c:f>'Monthly Sales Analysis'!$D$3</c:f>
              <c:strCache>
                <c:ptCount val="1"/>
                <c:pt idx="0">
                  <c:v>Count of Order_ID</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'Monthly Sales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Analysis'!$D$4:$D$16</c:f>
              <c:numCache>
                <c:formatCode>General</c:formatCode>
                <c:ptCount val="12"/>
                <c:pt idx="0">
                  <c:v>20</c:v>
                </c:pt>
                <c:pt idx="1">
                  <c:v>16</c:v>
                </c:pt>
                <c:pt idx="2">
                  <c:v>13</c:v>
                </c:pt>
                <c:pt idx="3">
                  <c:v>24</c:v>
                </c:pt>
                <c:pt idx="4">
                  <c:v>14</c:v>
                </c:pt>
                <c:pt idx="5">
                  <c:v>16</c:v>
                </c:pt>
                <c:pt idx="6">
                  <c:v>19</c:v>
                </c:pt>
                <c:pt idx="7">
                  <c:v>20</c:v>
                </c:pt>
                <c:pt idx="8">
                  <c:v>15</c:v>
                </c:pt>
                <c:pt idx="9">
                  <c:v>17</c:v>
                </c:pt>
                <c:pt idx="10">
                  <c:v>14</c:v>
                </c:pt>
                <c:pt idx="11">
                  <c:v>27</c:v>
                </c:pt>
              </c:numCache>
            </c:numRef>
          </c:val>
          <c:smooth val="0"/>
          <c:extLst>
            <c:ext xmlns:c16="http://schemas.microsoft.com/office/drawing/2014/chart" uri="{C3380CC4-5D6E-409C-BE32-E72D297353CC}">
              <c16:uniqueId val="{00000002-2D86-48E6-B3E3-C50AFACB2FAD}"/>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541634208"/>
        <c:axId val="1172775408"/>
      </c:lineChart>
      <c:catAx>
        <c:axId val="154163420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72775408"/>
        <c:crosses val="autoZero"/>
        <c:auto val="1"/>
        <c:lblAlgn val="ctr"/>
        <c:lblOffset val="100"/>
        <c:noMultiLvlLbl val="0"/>
      </c:catAx>
      <c:valAx>
        <c:axId val="1172775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41634208"/>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[SalesData_Backup.xlsx]Region_Analysis!PivotTable1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Region_Analysis!$B$3</c:f>
              <c:strCache>
                <c:ptCount val="1"/>
                <c:pt idx="0">
                  <c:v>Sum of Sales</c:v>
                </c:pt>
              </c:strCache>
            </c:strRef>
          </c:tx>
          <c:spPr>
            <a:solidFill>
              <a:schemeClr val="accent1"/>
            </a:solidFill>
            <a:ln>
              <a:noFill/>
            </a:ln>
            <a:effectLst/>
          </c:spPr>
          <c:invertIfNegative val="0"/>
          <c:cat>
            <c:strRef>
              <c:f>Region_Analysis!$A$4:$A$5</c:f>
              <c:strCache>
                <c:ptCount val="1"/>
                <c:pt idx="0">
                  <c:v>South</c:v>
                </c:pt>
              </c:strCache>
            </c:strRef>
          </c:cat>
          <c:val>
            <c:numRef>
              <c:f>Region_Analysis!$B$4:$B$5</c:f>
              <c:numCache>
                <c:formatCode>General</c:formatCode>
                <c:ptCount val="1"/>
                <c:pt idx="0">
                  <c:v>5911021.2699999996</c:v>
                </c:pt>
              </c:numCache>
            </c:numRef>
          </c:val>
          <c:extLst>
            <c:ext xmlns:c16="http://schemas.microsoft.com/office/drawing/2014/chart" uri="{C3380CC4-5D6E-409C-BE32-E72D297353CC}">
              <c16:uniqueId val="{00000000-DE9F-463E-AFF6-FF8D44E4C304}"/>
            </c:ext>
          </c:extLst>
        </c:ser>
        <c:ser>
          <c:idx val="1"/>
          <c:order val="1"/>
          <c:tx>
            <c:strRef>
              <c:f>Region_Analysis!$C$3</c:f>
              <c:strCache>
                <c:ptCount val="1"/>
                <c:pt idx="0">
                  <c:v>Sum of Profit</c:v>
                </c:pt>
              </c:strCache>
            </c:strRef>
          </c:tx>
          <c:spPr>
            <a:solidFill>
              <a:schemeClr val="accent2"/>
            </a:solidFill>
            <a:ln>
              <a:noFill/>
            </a:ln>
            <a:effectLst/>
          </c:spPr>
          <c:invertIfNegative val="0"/>
          <c:cat>
            <c:strRef>
              <c:f>Region_Analysis!$A$4:$A$5</c:f>
              <c:strCache>
                <c:ptCount val="1"/>
                <c:pt idx="0">
                  <c:v>South</c:v>
                </c:pt>
              </c:strCache>
            </c:strRef>
          </c:cat>
          <c:val>
            <c:numRef>
              <c:f>Region_Analysis!$C$4:$C$5</c:f>
              <c:numCache>
                <c:formatCode>General</c:formatCode>
                <c:ptCount val="1"/>
                <c:pt idx="0">
                  <c:v>1210050.4200000004</c:v>
                </c:pt>
              </c:numCache>
            </c:numRef>
          </c:val>
          <c:extLst>
            <c:ext xmlns:c16="http://schemas.microsoft.com/office/drawing/2014/chart" uri="{C3380CC4-5D6E-409C-BE32-E72D297353CC}">
              <c16:uniqueId val="{00000001-DE9F-463E-AFF6-FF8D44E4C304}"/>
            </c:ext>
          </c:extLst>
        </c:ser>
        <c:dLbls>
          <c:showLegendKey val="0"/>
          <c:showVal val="0"/>
          <c:showCatName val="0"/>
          <c:showSerName val="0"/>
          <c:showPercent val="0"/>
          <c:showBubbleSize val="0"/>
        </c:dLbls>
        <c:gapWidth val="219"/>
        <c:overlap val="-27"/>
        <c:axId val="1567614015"/>
        <c:axId val="1564897967"/>
      </c:barChart>
      <c:catAx>
        <c:axId val="156761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897967"/>
        <c:crosses val="autoZero"/>
        <c:auto val="1"/>
        <c:lblAlgn val="ctr"/>
        <c:lblOffset val="100"/>
        <c:noMultiLvlLbl val="0"/>
      </c:catAx>
      <c:valAx>
        <c:axId val="1564897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6140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Product_Analysis!$B$21</c:f>
              <c:strCache>
                <c:ptCount val="1"/>
                <c:pt idx="0">
                  <c:v>Sum of Sales</c:v>
                </c:pt>
              </c:strCache>
            </c:strRef>
          </c:tx>
          <c:spPr>
            <a:solidFill>
              <a:schemeClr val="accent1"/>
            </a:solidFill>
            <a:ln>
              <a:noFill/>
            </a:ln>
            <a:effectLst/>
          </c:spPr>
          <c:invertIfNegative val="0"/>
          <c:cat>
            <c:strRef>
              <c:f>Product_Analysis!$A$22:$A$33</c:f>
              <c:strCache>
                <c:ptCount val="10"/>
                <c:pt idx="0">
                  <c:v>Monitor</c:v>
                </c:pt>
                <c:pt idx="1">
                  <c:v>Office Chair</c:v>
                </c:pt>
                <c:pt idx="2">
                  <c:v>Printer</c:v>
                </c:pt>
                <c:pt idx="3">
                  <c:v>Desk</c:v>
                </c:pt>
                <c:pt idx="4">
                  <c:v>Headphones</c:v>
                </c:pt>
                <c:pt idx="5">
                  <c:v>Backpack</c:v>
                </c:pt>
                <c:pt idx="6">
                  <c:v>Keyboard</c:v>
                </c:pt>
                <c:pt idx="7">
                  <c:v>Mouse</c:v>
                </c:pt>
                <c:pt idx="8">
                  <c:v>Water Bottle</c:v>
                </c:pt>
                <c:pt idx="9">
                  <c:v>Notebook</c:v>
                </c:pt>
              </c:strCache>
            </c:strRef>
          </c:cat>
          <c:val>
            <c:numRef>
              <c:f>Product_Analysis!$B$22:$B$33</c:f>
              <c:numCache>
                <c:formatCode>General</c:formatCode>
                <c:ptCount val="10"/>
                <c:pt idx="0">
                  <c:v>222435.21000000005</c:v>
                </c:pt>
                <c:pt idx="1">
                  <c:v>310489.67</c:v>
                </c:pt>
                <c:pt idx="2">
                  <c:v>325350.46999999991</c:v>
                </c:pt>
                <c:pt idx="3">
                  <c:v>614540.62999999989</c:v>
                </c:pt>
                <c:pt idx="4">
                  <c:v>1501293.9999999993</c:v>
                </c:pt>
                <c:pt idx="5">
                  <c:v>1941008.3200000003</c:v>
                </c:pt>
                <c:pt idx="6">
                  <c:v>2044131.4699999997</c:v>
                </c:pt>
                <c:pt idx="7">
                  <c:v>2971153.46</c:v>
                </c:pt>
                <c:pt idx="8">
                  <c:v>6568381.2600000007</c:v>
                </c:pt>
                <c:pt idx="9">
                  <c:v>10022532.660000002</c:v>
                </c:pt>
              </c:numCache>
            </c:numRef>
          </c:val>
          <c:extLst>
            <c:ext xmlns:c16="http://schemas.microsoft.com/office/drawing/2014/chart" uri="{C3380CC4-5D6E-409C-BE32-E72D297353CC}">
              <c16:uniqueId val="{00000000-DD1A-4F10-9EC2-F0724291CC47}"/>
            </c:ext>
          </c:extLst>
        </c:ser>
        <c:dLbls>
          <c:showLegendKey val="0"/>
          <c:showVal val="0"/>
          <c:showCatName val="0"/>
          <c:showSerName val="0"/>
          <c:showPercent val="0"/>
          <c:showBubbleSize val="0"/>
        </c:dLbls>
        <c:gapWidth val="219"/>
        <c:axId val="1386041216"/>
        <c:axId val="1172720208"/>
      </c:barChart>
      <c:catAx>
        <c:axId val="1386041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720208"/>
        <c:crosses val="autoZero"/>
        <c:auto val="1"/>
        <c:lblAlgn val="ctr"/>
        <c:lblOffset val="100"/>
        <c:noMultiLvlLbl val="0"/>
      </c:catAx>
      <c:valAx>
        <c:axId val="1172720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04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channel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Channel_Analysis!$B$35</c:f>
              <c:strCache>
                <c:ptCount val="1"/>
                <c:pt idx="0">
                  <c:v>Sum of Sales</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Channel_Analysis!$A$36:$A$37</c:f>
              <c:strCache>
                <c:ptCount val="2"/>
                <c:pt idx="0">
                  <c:v>Online</c:v>
                </c:pt>
                <c:pt idx="1">
                  <c:v>Store</c:v>
                </c:pt>
              </c:strCache>
            </c:strRef>
          </c:cat>
          <c:val>
            <c:numRef>
              <c:f>Channel_Analysis!$B$36:$B$37</c:f>
              <c:numCache>
                <c:formatCode>General</c:formatCode>
                <c:ptCount val="2"/>
                <c:pt idx="0">
                  <c:v>13849942.11999999</c:v>
                </c:pt>
                <c:pt idx="1">
                  <c:v>12843305.009999994</c:v>
                </c:pt>
              </c:numCache>
            </c:numRef>
          </c:val>
          <c:extLst>
            <c:ext xmlns:c16="http://schemas.microsoft.com/office/drawing/2014/chart" uri="{C3380CC4-5D6E-409C-BE32-E72D297353CC}">
              <c16:uniqueId val="{00000000-A23E-495B-A43E-6940344E81CD}"/>
            </c:ext>
          </c:extLst>
        </c:ser>
        <c:dLbls>
          <c:showLegendKey val="0"/>
          <c:showVal val="0"/>
          <c:showCatName val="0"/>
          <c:showSerName val="0"/>
          <c:showPercent val="0"/>
          <c:showBubbleSize val="0"/>
        </c:dLbls>
        <c:gapWidth val="65"/>
        <c:shape val="box"/>
        <c:axId val="1663487936"/>
        <c:axId val="1172720688"/>
        <c:axId val="0"/>
      </c:bar3DChart>
      <c:catAx>
        <c:axId val="16634879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72720688"/>
        <c:crosses val="autoZero"/>
        <c:auto val="1"/>
        <c:lblAlgn val="ctr"/>
        <c:lblOffset val="100"/>
        <c:noMultiLvlLbl val="0"/>
      </c:catAx>
      <c:valAx>
        <c:axId val="117272068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6348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[SalesData_Backup.xlsx]Region_Analysis!PivotTable1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Region_Analysis!$B$3</c:f>
              <c:strCache>
                <c:ptCount val="1"/>
                <c:pt idx="0">
                  <c:v>Sum of Sales</c:v>
                </c:pt>
              </c:strCache>
            </c:strRef>
          </c:tx>
          <c:spPr>
            <a:solidFill>
              <a:schemeClr val="accent1"/>
            </a:solidFill>
            <a:ln>
              <a:noFill/>
            </a:ln>
            <a:effectLst/>
          </c:spPr>
          <c:invertIfNegative val="0"/>
          <c:cat>
            <c:strRef>
              <c:f>Region_Analysis!$A$4:$A$5</c:f>
              <c:strCache>
                <c:ptCount val="1"/>
                <c:pt idx="0">
                  <c:v>South</c:v>
                </c:pt>
              </c:strCache>
            </c:strRef>
          </c:cat>
          <c:val>
            <c:numRef>
              <c:f>Region_Analysis!$B$4:$B$5</c:f>
              <c:numCache>
                <c:formatCode>General</c:formatCode>
                <c:ptCount val="1"/>
                <c:pt idx="0">
                  <c:v>5911021.2699999996</c:v>
                </c:pt>
              </c:numCache>
            </c:numRef>
          </c:val>
          <c:extLst>
            <c:ext xmlns:c16="http://schemas.microsoft.com/office/drawing/2014/chart" uri="{C3380CC4-5D6E-409C-BE32-E72D297353CC}">
              <c16:uniqueId val="{00000000-D99E-4071-AAD8-A8B1D74EC7EB}"/>
            </c:ext>
          </c:extLst>
        </c:ser>
        <c:ser>
          <c:idx val="1"/>
          <c:order val="1"/>
          <c:tx>
            <c:strRef>
              <c:f>Region_Analysis!$C$3</c:f>
              <c:strCache>
                <c:ptCount val="1"/>
                <c:pt idx="0">
                  <c:v>Sum of Profit</c:v>
                </c:pt>
              </c:strCache>
            </c:strRef>
          </c:tx>
          <c:spPr>
            <a:solidFill>
              <a:schemeClr val="accent2"/>
            </a:solidFill>
            <a:ln>
              <a:noFill/>
            </a:ln>
            <a:effectLst/>
          </c:spPr>
          <c:invertIfNegative val="0"/>
          <c:cat>
            <c:strRef>
              <c:f>Region_Analysis!$A$4:$A$5</c:f>
              <c:strCache>
                <c:ptCount val="1"/>
                <c:pt idx="0">
                  <c:v>South</c:v>
                </c:pt>
              </c:strCache>
            </c:strRef>
          </c:cat>
          <c:val>
            <c:numRef>
              <c:f>Region_Analysis!$C$4:$C$5</c:f>
              <c:numCache>
                <c:formatCode>General</c:formatCode>
                <c:ptCount val="1"/>
                <c:pt idx="0">
                  <c:v>1210050.4200000004</c:v>
                </c:pt>
              </c:numCache>
            </c:numRef>
          </c:val>
          <c:extLst>
            <c:ext xmlns:c16="http://schemas.microsoft.com/office/drawing/2014/chart" uri="{C3380CC4-5D6E-409C-BE32-E72D297353CC}">
              <c16:uniqueId val="{00000001-D99E-4071-AAD8-A8B1D74EC7EB}"/>
            </c:ext>
          </c:extLst>
        </c:ser>
        <c:dLbls>
          <c:showLegendKey val="0"/>
          <c:showVal val="0"/>
          <c:showCatName val="0"/>
          <c:showSerName val="0"/>
          <c:showPercent val="0"/>
          <c:showBubbleSize val="0"/>
        </c:dLbls>
        <c:gapWidth val="219"/>
        <c:overlap val="-27"/>
        <c:axId val="1567614015"/>
        <c:axId val="1564897967"/>
      </c:barChart>
      <c:catAx>
        <c:axId val="156761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897967"/>
        <c:crosses val="autoZero"/>
        <c:auto val="1"/>
        <c:lblAlgn val="ctr"/>
        <c:lblOffset val="100"/>
        <c:noMultiLvlLbl val="0"/>
      </c:catAx>
      <c:valAx>
        <c:axId val="1564897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614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[SalesData_Backup.xlsx]Region_Analysis!PivotTable1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Profit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Region_Analysis!$B$3</c:f>
              <c:strCache>
                <c:ptCount val="1"/>
                <c:pt idx="0">
                  <c:v>Sum of Sales</c:v>
                </c:pt>
              </c:strCache>
            </c:strRef>
          </c:tx>
          <c:spPr>
            <a:solidFill>
              <a:schemeClr val="accent1"/>
            </a:solidFill>
            <a:ln>
              <a:noFill/>
            </a:ln>
            <a:effectLst/>
          </c:spPr>
          <c:invertIfNegative val="0"/>
          <c:cat>
            <c:strRef>
              <c:f>Region_Analysis!$A$4:$A$5</c:f>
              <c:strCache>
                <c:ptCount val="1"/>
                <c:pt idx="0">
                  <c:v>South</c:v>
                </c:pt>
              </c:strCache>
            </c:strRef>
          </c:cat>
          <c:val>
            <c:numRef>
              <c:f>Region_Analysis!$B$4:$B$5</c:f>
              <c:numCache>
                <c:formatCode>General</c:formatCode>
                <c:ptCount val="1"/>
                <c:pt idx="0">
                  <c:v>5911021.2699999996</c:v>
                </c:pt>
              </c:numCache>
            </c:numRef>
          </c:val>
          <c:extLst>
            <c:ext xmlns:c16="http://schemas.microsoft.com/office/drawing/2014/chart" uri="{C3380CC4-5D6E-409C-BE32-E72D297353CC}">
              <c16:uniqueId val="{00000000-DF79-4970-895F-B03BEA3A30CF}"/>
            </c:ext>
          </c:extLst>
        </c:ser>
        <c:ser>
          <c:idx val="1"/>
          <c:order val="1"/>
          <c:tx>
            <c:strRef>
              <c:f>Region_Analysis!$C$3</c:f>
              <c:strCache>
                <c:ptCount val="1"/>
                <c:pt idx="0">
                  <c:v>Sum of Profit</c:v>
                </c:pt>
              </c:strCache>
            </c:strRef>
          </c:tx>
          <c:spPr>
            <a:solidFill>
              <a:schemeClr val="accent2"/>
            </a:solidFill>
            <a:ln>
              <a:noFill/>
            </a:ln>
            <a:effectLst/>
          </c:spPr>
          <c:invertIfNegative val="0"/>
          <c:cat>
            <c:strRef>
              <c:f>Region_Analysis!$A$4:$A$5</c:f>
              <c:strCache>
                <c:ptCount val="1"/>
                <c:pt idx="0">
                  <c:v>South</c:v>
                </c:pt>
              </c:strCache>
            </c:strRef>
          </c:cat>
          <c:val>
            <c:numRef>
              <c:f>Region_Analysis!$C$4:$C$5</c:f>
              <c:numCache>
                <c:formatCode>General</c:formatCode>
                <c:ptCount val="1"/>
                <c:pt idx="0">
                  <c:v>1210050.4200000004</c:v>
                </c:pt>
              </c:numCache>
            </c:numRef>
          </c:val>
          <c:extLst>
            <c:ext xmlns:c16="http://schemas.microsoft.com/office/drawing/2014/chart" uri="{C3380CC4-5D6E-409C-BE32-E72D297353CC}">
              <c16:uniqueId val="{00000001-DF79-4970-895F-B03BEA3A30CF}"/>
            </c:ext>
          </c:extLst>
        </c:ser>
        <c:dLbls>
          <c:showLegendKey val="0"/>
          <c:showVal val="0"/>
          <c:showCatName val="0"/>
          <c:showSerName val="0"/>
          <c:showPercent val="0"/>
          <c:showBubbleSize val="0"/>
        </c:dLbls>
        <c:gapWidth val="182"/>
        <c:axId val="1814017567"/>
        <c:axId val="1564912367"/>
      </c:barChart>
      <c:catAx>
        <c:axId val="1814017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912367"/>
        <c:crosses val="autoZero"/>
        <c:auto val="1"/>
        <c:lblAlgn val="ctr"/>
        <c:lblOffset val="100"/>
        <c:noMultiLvlLbl val="0"/>
      </c:catAx>
      <c:valAx>
        <c:axId val="1564912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01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[SalesData_Backup.xlsx]Category_Analysis!PivotTable1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Category_Analysis!$B$3</c:f>
              <c:strCache>
                <c:ptCount val="1"/>
                <c:pt idx="0">
                  <c:v>Sum of Sales</c:v>
                </c:pt>
              </c:strCache>
            </c:strRef>
          </c:tx>
          <c:spPr>
            <a:solidFill>
              <a:schemeClr val="accent1"/>
            </a:solidFill>
            <a:ln>
              <a:noFill/>
            </a:ln>
            <a:effectLst/>
          </c:spPr>
          <c:invertIfNegative val="0"/>
          <c:cat>
            <c:strRef>
              <c:f>Category_Analysis!$A$4:$A$9</c:f>
              <c:strCache>
                <c:ptCount val="5"/>
                <c:pt idx="0">
                  <c:v>Accessories</c:v>
                </c:pt>
                <c:pt idx="1">
                  <c:v>Electronics</c:v>
                </c:pt>
                <c:pt idx="2">
                  <c:v>Furniture</c:v>
                </c:pt>
                <c:pt idx="3">
                  <c:v>Lifestyle</c:v>
                </c:pt>
                <c:pt idx="4">
                  <c:v>Stationery</c:v>
                </c:pt>
              </c:strCache>
            </c:strRef>
          </c:cat>
          <c:val>
            <c:numRef>
              <c:f>Category_Analysis!$B$4:$B$9</c:f>
              <c:numCache>
                <c:formatCode>General</c:formatCode>
                <c:ptCount val="5"/>
                <c:pt idx="0">
                  <c:v>129783.9</c:v>
                </c:pt>
                <c:pt idx="1">
                  <c:v>5040127.5200000014</c:v>
                </c:pt>
                <c:pt idx="2">
                  <c:v>664200.32000000018</c:v>
                </c:pt>
                <c:pt idx="3">
                  <c:v>67693</c:v>
                </c:pt>
                <c:pt idx="4">
                  <c:v>9216.5300000000007</c:v>
                </c:pt>
              </c:numCache>
            </c:numRef>
          </c:val>
          <c:extLst>
            <c:ext xmlns:c16="http://schemas.microsoft.com/office/drawing/2014/chart" uri="{C3380CC4-5D6E-409C-BE32-E72D297353CC}">
              <c16:uniqueId val="{00000000-F9DC-4C35-9446-CEFB81E716F9}"/>
            </c:ext>
          </c:extLst>
        </c:ser>
        <c:ser>
          <c:idx val="1"/>
          <c:order val="1"/>
          <c:tx>
            <c:strRef>
              <c:f>Category_Analysis!$C$3</c:f>
              <c:strCache>
                <c:ptCount val="1"/>
                <c:pt idx="0">
                  <c:v>Sum of Profit</c:v>
                </c:pt>
              </c:strCache>
            </c:strRef>
          </c:tx>
          <c:spPr>
            <a:solidFill>
              <a:schemeClr val="accent2"/>
            </a:solidFill>
            <a:ln>
              <a:noFill/>
            </a:ln>
            <a:effectLst/>
          </c:spPr>
          <c:invertIfNegative val="0"/>
          <c:cat>
            <c:strRef>
              <c:f>Category_Analysis!$A$4:$A$9</c:f>
              <c:strCache>
                <c:ptCount val="5"/>
                <c:pt idx="0">
                  <c:v>Accessories</c:v>
                </c:pt>
                <c:pt idx="1">
                  <c:v>Electronics</c:v>
                </c:pt>
                <c:pt idx="2">
                  <c:v>Furniture</c:v>
                </c:pt>
                <c:pt idx="3">
                  <c:v>Lifestyle</c:v>
                </c:pt>
                <c:pt idx="4">
                  <c:v>Stationery</c:v>
                </c:pt>
              </c:strCache>
            </c:strRef>
          </c:cat>
          <c:val>
            <c:numRef>
              <c:f>Category_Analysis!$C$4:$C$9</c:f>
              <c:numCache>
                <c:formatCode>General</c:formatCode>
                <c:ptCount val="5"/>
                <c:pt idx="0">
                  <c:v>23507.679999999997</c:v>
                </c:pt>
                <c:pt idx="1">
                  <c:v>1042142.5400000004</c:v>
                </c:pt>
                <c:pt idx="2">
                  <c:v>128686.31000000001</c:v>
                </c:pt>
                <c:pt idx="3">
                  <c:v>13790.86</c:v>
                </c:pt>
                <c:pt idx="4">
                  <c:v>1923.0300000000002</c:v>
                </c:pt>
              </c:numCache>
            </c:numRef>
          </c:val>
          <c:extLst>
            <c:ext xmlns:c16="http://schemas.microsoft.com/office/drawing/2014/chart" uri="{C3380CC4-5D6E-409C-BE32-E72D297353CC}">
              <c16:uniqueId val="{00000001-F9DC-4C35-9446-CEFB81E716F9}"/>
            </c:ext>
          </c:extLst>
        </c:ser>
        <c:dLbls>
          <c:showLegendKey val="0"/>
          <c:showVal val="0"/>
          <c:showCatName val="0"/>
          <c:showSerName val="0"/>
          <c:showPercent val="0"/>
          <c:showBubbleSize val="0"/>
        </c:dLbls>
        <c:gapWidth val="219"/>
        <c:overlap val="-27"/>
        <c:axId val="720403776"/>
        <c:axId val="1172669808"/>
      </c:barChart>
      <c:catAx>
        <c:axId val="72040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669808"/>
        <c:crosses val="autoZero"/>
        <c:auto val="1"/>
        <c:lblAlgn val="ctr"/>
        <c:lblOffset val="100"/>
        <c:noMultiLvlLbl val="0"/>
      </c:catAx>
      <c:valAx>
        <c:axId val="117266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40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[SalesData_Backup.xlsx]Category_Analysis!PivotTable1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Category_Analysis!$B$3</c:f>
              <c:strCache>
                <c:ptCount val="1"/>
                <c:pt idx="0">
                  <c:v>Sum of Sales</c:v>
                </c:pt>
              </c:strCache>
            </c:strRef>
          </c:tx>
          <c:spPr>
            <a:ln w="28575" cap="rnd">
              <a:solidFill>
                <a:schemeClr val="accent1"/>
              </a:solidFill>
              <a:round/>
            </a:ln>
            <a:effectLst/>
          </c:spPr>
          <c:marker>
            <c:symbol val="none"/>
          </c:marker>
          <c:cat>
            <c:strRef>
              <c:f>Category_Analysis!$A$4:$A$9</c:f>
              <c:strCache>
                <c:ptCount val="5"/>
                <c:pt idx="0">
                  <c:v>Accessories</c:v>
                </c:pt>
                <c:pt idx="1">
                  <c:v>Electronics</c:v>
                </c:pt>
                <c:pt idx="2">
                  <c:v>Furniture</c:v>
                </c:pt>
                <c:pt idx="3">
                  <c:v>Lifestyle</c:v>
                </c:pt>
                <c:pt idx="4">
                  <c:v>Stationery</c:v>
                </c:pt>
              </c:strCache>
            </c:strRef>
          </c:cat>
          <c:val>
            <c:numRef>
              <c:f>Category_Analysis!$B$4:$B$9</c:f>
              <c:numCache>
                <c:formatCode>General</c:formatCode>
                <c:ptCount val="5"/>
                <c:pt idx="0">
                  <c:v>129783.9</c:v>
                </c:pt>
                <c:pt idx="1">
                  <c:v>5040127.5200000014</c:v>
                </c:pt>
                <c:pt idx="2">
                  <c:v>664200.32000000018</c:v>
                </c:pt>
                <c:pt idx="3">
                  <c:v>67693</c:v>
                </c:pt>
                <c:pt idx="4">
                  <c:v>9216.5300000000007</c:v>
                </c:pt>
              </c:numCache>
            </c:numRef>
          </c:val>
          <c:smooth val="0"/>
          <c:extLst>
            <c:ext xmlns:c16="http://schemas.microsoft.com/office/drawing/2014/chart" uri="{C3380CC4-5D6E-409C-BE32-E72D297353CC}">
              <c16:uniqueId val="{00000000-1F54-4113-B6A7-2C941C1D7D67}"/>
            </c:ext>
          </c:extLst>
        </c:ser>
        <c:ser>
          <c:idx val="1"/>
          <c:order val="1"/>
          <c:tx>
            <c:strRef>
              <c:f>Category_Analysis!$C$3</c:f>
              <c:strCache>
                <c:ptCount val="1"/>
                <c:pt idx="0">
                  <c:v>Sum of Profit</c:v>
                </c:pt>
              </c:strCache>
            </c:strRef>
          </c:tx>
          <c:spPr>
            <a:ln w="28575" cap="rnd">
              <a:solidFill>
                <a:schemeClr val="accent2"/>
              </a:solidFill>
              <a:round/>
            </a:ln>
            <a:effectLst/>
          </c:spPr>
          <c:marker>
            <c:symbol val="none"/>
          </c:marker>
          <c:cat>
            <c:strRef>
              <c:f>Category_Analysis!$A$4:$A$9</c:f>
              <c:strCache>
                <c:ptCount val="5"/>
                <c:pt idx="0">
                  <c:v>Accessories</c:v>
                </c:pt>
                <c:pt idx="1">
                  <c:v>Electronics</c:v>
                </c:pt>
                <c:pt idx="2">
                  <c:v>Furniture</c:v>
                </c:pt>
                <c:pt idx="3">
                  <c:v>Lifestyle</c:v>
                </c:pt>
                <c:pt idx="4">
                  <c:v>Stationery</c:v>
                </c:pt>
              </c:strCache>
            </c:strRef>
          </c:cat>
          <c:val>
            <c:numRef>
              <c:f>Category_Analysis!$C$4:$C$9</c:f>
              <c:numCache>
                <c:formatCode>General</c:formatCode>
                <c:ptCount val="5"/>
                <c:pt idx="0">
                  <c:v>23507.679999999997</c:v>
                </c:pt>
                <c:pt idx="1">
                  <c:v>1042142.5400000004</c:v>
                </c:pt>
                <c:pt idx="2">
                  <c:v>128686.31000000001</c:v>
                </c:pt>
                <c:pt idx="3">
                  <c:v>13790.86</c:v>
                </c:pt>
                <c:pt idx="4">
                  <c:v>1923.0300000000002</c:v>
                </c:pt>
              </c:numCache>
            </c:numRef>
          </c:val>
          <c:smooth val="0"/>
          <c:extLst>
            <c:ext xmlns:c16="http://schemas.microsoft.com/office/drawing/2014/chart" uri="{C3380CC4-5D6E-409C-BE32-E72D297353CC}">
              <c16:uniqueId val="{00000001-1F54-4113-B6A7-2C941C1D7D67}"/>
            </c:ext>
          </c:extLst>
        </c:ser>
        <c:dLbls>
          <c:showLegendKey val="0"/>
          <c:showVal val="0"/>
          <c:showCatName val="0"/>
          <c:showSerName val="0"/>
          <c:showPercent val="0"/>
          <c:showBubbleSize val="0"/>
        </c:dLbls>
        <c:smooth val="0"/>
        <c:axId val="720474768"/>
        <c:axId val="1172679888"/>
      </c:lineChart>
      <c:catAx>
        <c:axId val="72047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679888"/>
        <c:crosses val="autoZero"/>
        <c:auto val="1"/>
        <c:lblAlgn val="ctr"/>
        <c:lblOffset val="100"/>
        <c:noMultiLvlLbl val="0"/>
      </c:catAx>
      <c:valAx>
        <c:axId val="1172679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47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Product_Analysis!$B$21</c:f>
              <c:strCache>
                <c:ptCount val="1"/>
                <c:pt idx="0">
                  <c:v>Sum of Sales</c:v>
                </c:pt>
              </c:strCache>
            </c:strRef>
          </c:tx>
          <c:spPr>
            <a:solidFill>
              <a:schemeClr val="accent1"/>
            </a:solidFill>
            <a:ln>
              <a:noFill/>
            </a:ln>
            <a:effectLst/>
          </c:spPr>
          <c:invertIfNegative val="0"/>
          <c:cat>
            <c:strRef>
              <c:f>Product_Analysis!$A$22:$A$33</c:f>
              <c:strCache>
                <c:ptCount val="10"/>
                <c:pt idx="0">
                  <c:v>Monitor</c:v>
                </c:pt>
                <c:pt idx="1">
                  <c:v>Office Chair</c:v>
                </c:pt>
                <c:pt idx="2">
                  <c:v>Printer</c:v>
                </c:pt>
                <c:pt idx="3">
                  <c:v>Desk</c:v>
                </c:pt>
                <c:pt idx="4">
                  <c:v>Headphones</c:v>
                </c:pt>
                <c:pt idx="5">
                  <c:v>Backpack</c:v>
                </c:pt>
                <c:pt idx="6">
                  <c:v>Keyboard</c:v>
                </c:pt>
                <c:pt idx="7">
                  <c:v>Mouse</c:v>
                </c:pt>
                <c:pt idx="8">
                  <c:v>Water Bottle</c:v>
                </c:pt>
                <c:pt idx="9">
                  <c:v>Notebook</c:v>
                </c:pt>
              </c:strCache>
            </c:strRef>
          </c:cat>
          <c:val>
            <c:numRef>
              <c:f>Product_Analysis!$B$22:$B$33</c:f>
              <c:numCache>
                <c:formatCode>General</c:formatCode>
                <c:ptCount val="10"/>
                <c:pt idx="0">
                  <c:v>222435.21000000005</c:v>
                </c:pt>
                <c:pt idx="1">
                  <c:v>310489.67</c:v>
                </c:pt>
                <c:pt idx="2">
                  <c:v>325350.46999999991</c:v>
                </c:pt>
                <c:pt idx="3">
                  <c:v>614540.62999999989</c:v>
                </c:pt>
                <c:pt idx="4">
                  <c:v>1501293.9999999993</c:v>
                </c:pt>
                <c:pt idx="5">
                  <c:v>1941008.3200000003</c:v>
                </c:pt>
                <c:pt idx="6">
                  <c:v>2044131.4699999997</c:v>
                </c:pt>
                <c:pt idx="7">
                  <c:v>2971153.46</c:v>
                </c:pt>
                <c:pt idx="8">
                  <c:v>6568381.2600000007</c:v>
                </c:pt>
                <c:pt idx="9">
                  <c:v>10022532.660000002</c:v>
                </c:pt>
              </c:numCache>
            </c:numRef>
          </c:val>
          <c:extLst>
            <c:ext xmlns:c16="http://schemas.microsoft.com/office/drawing/2014/chart" uri="{C3380CC4-5D6E-409C-BE32-E72D297353CC}">
              <c16:uniqueId val="{00000000-BE07-4092-AB62-F15B0A5BFE13}"/>
            </c:ext>
          </c:extLst>
        </c:ser>
        <c:dLbls>
          <c:showLegendKey val="0"/>
          <c:showVal val="0"/>
          <c:showCatName val="0"/>
          <c:showSerName val="0"/>
          <c:showPercent val="0"/>
          <c:showBubbleSize val="0"/>
        </c:dLbls>
        <c:gapWidth val="219"/>
        <c:axId val="1386041216"/>
        <c:axId val="1172720208"/>
      </c:barChart>
      <c:catAx>
        <c:axId val="1386041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720208"/>
        <c:crosses val="autoZero"/>
        <c:auto val="1"/>
        <c:lblAlgn val="ctr"/>
        <c:lblOffset val="100"/>
        <c:noMultiLvlLbl val="0"/>
      </c:catAx>
      <c:valAx>
        <c:axId val="1172720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04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[SalesData_Backup.xlsx]Monthly Sales Analysis!PivotTable3</c:name>
    <c:fmtId val="2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Monthly Sales Trend — 2025.</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Analysis'!$B$3</c:f>
              <c:strCache>
                <c:ptCount val="1"/>
                <c:pt idx="0">
                  <c:v>Sum of Sales</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'Monthly Sales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Analysis'!$B$4:$B$16</c:f>
              <c:numCache>
                <c:formatCode>General</c:formatCode>
                <c:ptCount val="12"/>
                <c:pt idx="0">
                  <c:v>364376.78</c:v>
                </c:pt>
                <c:pt idx="1">
                  <c:v>231485.3</c:v>
                </c:pt>
                <c:pt idx="2">
                  <c:v>123912.29000000001</c:v>
                </c:pt>
                <c:pt idx="3">
                  <c:v>528408.52</c:v>
                </c:pt>
                <c:pt idx="4">
                  <c:v>245958.59999999998</c:v>
                </c:pt>
                <c:pt idx="5">
                  <c:v>285393.05000000005</c:v>
                </c:pt>
                <c:pt idx="6">
                  <c:v>632309.97000000009</c:v>
                </c:pt>
                <c:pt idx="7">
                  <c:v>645964.28999999992</c:v>
                </c:pt>
                <c:pt idx="8">
                  <c:v>663150.2100000002</c:v>
                </c:pt>
                <c:pt idx="9">
                  <c:v>407123.11999999994</c:v>
                </c:pt>
                <c:pt idx="10">
                  <c:v>600979.32999999996</c:v>
                </c:pt>
                <c:pt idx="11">
                  <c:v>1181959.8100000005</c:v>
                </c:pt>
              </c:numCache>
            </c:numRef>
          </c:val>
          <c:smooth val="0"/>
          <c:extLst>
            <c:ext xmlns:c16="http://schemas.microsoft.com/office/drawing/2014/chart" uri="{C3380CC4-5D6E-409C-BE32-E72D297353CC}">
              <c16:uniqueId val="{00000000-85A5-43C9-AC14-E663E3425AFE}"/>
            </c:ext>
          </c:extLst>
        </c:ser>
        <c:ser>
          <c:idx val="1"/>
          <c:order val="1"/>
          <c:tx>
            <c:strRef>
              <c:f>'Monthly Sales Analysis'!$C$3</c:f>
              <c:strCache>
                <c:ptCount val="1"/>
                <c:pt idx="0">
                  <c:v>Sum of Profit</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'Monthly Sales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Analysis'!$C$4:$C$16</c:f>
              <c:numCache>
                <c:formatCode>General</c:formatCode>
                <c:ptCount val="12"/>
                <c:pt idx="0">
                  <c:v>65434.97</c:v>
                </c:pt>
                <c:pt idx="1">
                  <c:v>62472.390000000007</c:v>
                </c:pt>
                <c:pt idx="2">
                  <c:v>14560.23</c:v>
                </c:pt>
                <c:pt idx="3">
                  <c:v>90548.51999999999</c:v>
                </c:pt>
                <c:pt idx="4">
                  <c:v>57110.799999999996</c:v>
                </c:pt>
                <c:pt idx="5">
                  <c:v>59322.47</c:v>
                </c:pt>
                <c:pt idx="6">
                  <c:v>135648.67999999996</c:v>
                </c:pt>
                <c:pt idx="7">
                  <c:v>166400.07999999999</c:v>
                </c:pt>
                <c:pt idx="8">
                  <c:v>138188.56</c:v>
                </c:pt>
                <c:pt idx="9">
                  <c:v>70741.279999999999</c:v>
                </c:pt>
                <c:pt idx="10">
                  <c:v>106855.34</c:v>
                </c:pt>
                <c:pt idx="11">
                  <c:v>242767.09999999998</c:v>
                </c:pt>
              </c:numCache>
            </c:numRef>
          </c:val>
          <c:smooth val="0"/>
          <c:extLst>
            <c:ext xmlns:c16="http://schemas.microsoft.com/office/drawing/2014/chart" uri="{C3380CC4-5D6E-409C-BE32-E72D297353CC}">
              <c16:uniqueId val="{00000001-85A5-43C9-AC14-E663E3425AFE}"/>
            </c:ext>
          </c:extLst>
        </c:ser>
        <c:ser>
          <c:idx val="2"/>
          <c:order val="2"/>
          <c:tx>
            <c:strRef>
              <c:f>'Monthly Sales Analysis'!$D$3</c:f>
              <c:strCache>
                <c:ptCount val="1"/>
                <c:pt idx="0">
                  <c:v>Count of Order_ID</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'Monthly Sales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Analysis'!$D$4:$D$16</c:f>
              <c:numCache>
                <c:formatCode>General</c:formatCode>
                <c:ptCount val="12"/>
                <c:pt idx="0">
                  <c:v>20</c:v>
                </c:pt>
                <c:pt idx="1">
                  <c:v>16</c:v>
                </c:pt>
                <c:pt idx="2">
                  <c:v>13</c:v>
                </c:pt>
                <c:pt idx="3">
                  <c:v>24</c:v>
                </c:pt>
                <c:pt idx="4">
                  <c:v>14</c:v>
                </c:pt>
                <c:pt idx="5">
                  <c:v>16</c:v>
                </c:pt>
                <c:pt idx="6">
                  <c:v>19</c:v>
                </c:pt>
                <c:pt idx="7">
                  <c:v>20</c:v>
                </c:pt>
                <c:pt idx="8">
                  <c:v>15</c:v>
                </c:pt>
                <c:pt idx="9">
                  <c:v>17</c:v>
                </c:pt>
                <c:pt idx="10">
                  <c:v>14</c:v>
                </c:pt>
                <c:pt idx="11">
                  <c:v>27</c:v>
                </c:pt>
              </c:numCache>
            </c:numRef>
          </c:val>
          <c:smooth val="0"/>
          <c:extLst>
            <c:ext xmlns:c16="http://schemas.microsoft.com/office/drawing/2014/chart" uri="{C3380CC4-5D6E-409C-BE32-E72D297353CC}">
              <c16:uniqueId val="{00000002-85A5-43C9-AC14-E663E3425AF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541634208"/>
        <c:axId val="1172775408"/>
      </c:lineChart>
      <c:catAx>
        <c:axId val="154163420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72775408"/>
        <c:crosses val="autoZero"/>
        <c:auto val="1"/>
        <c:lblAlgn val="ctr"/>
        <c:lblOffset val="100"/>
        <c:noMultiLvlLbl val="0"/>
      </c:catAx>
      <c:valAx>
        <c:axId val="1172775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41634208"/>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[SalesData_Backup.xlsx]Quarterly_Analysis!PivotTable26</c:name>
    <c:fmtId val="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Sales ans Profit by Quaters</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Quarterly_Analysis!$B$3</c:f>
              <c:strCache>
                <c:ptCount val="1"/>
                <c:pt idx="0">
                  <c:v>Sum of Sales</c:v>
                </c:pt>
              </c:strCache>
            </c:strRef>
          </c:tx>
          <c:spPr>
            <a:solidFill>
              <a:schemeClr val="accent1">
                <a:alpha val="70000"/>
              </a:schemeClr>
            </a:solidFill>
            <a:ln>
              <a:noFill/>
            </a:ln>
            <a:effectLst/>
          </c:spPr>
          <c:invertIfNegative val="0"/>
          <c:cat>
            <c:strRef>
              <c:f>Quarterly_Analysis!$A$4:$A$8</c:f>
              <c:strCache>
                <c:ptCount val="4"/>
                <c:pt idx="0">
                  <c:v>Qtr1</c:v>
                </c:pt>
                <c:pt idx="1">
                  <c:v>Qtr2</c:v>
                </c:pt>
                <c:pt idx="2">
                  <c:v>Qtr3</c:v>
                </c:pt>
                <c:pt idx="3">
                  <c:v>Qtr4</c:v>
                </c:pt>
              </c:strCache>
            </c:strRef>
          </c:cat>
          <c:val>
            <c:numRef>
              <c:f>Quarterly_Analysis!$B$4:$B$8</c:f>
              <c:numCache>
                <c:formatCode>General</c:formatCode>
                <c:ptCount val="4"/>
                <c:pt idx="0">
                  <c:v>6263604.4600000009</c:v>
                </c:pt>
                <c:pt idx="1">
                  <c:v>6183485.4199999981</c:v>
                </c:pt>
                <c:pt idx="2">
                  <c:v>6792473.1300000036</c:v>
                </c:pt>
                <c:pt idx="3">
                  <c:v>7453684.1199999973</c:v>
                </c:pt>
              </c:numCache>
            </c:numRef>
          </c:val>
          <c:extLst>
            <c:ext xmlns:c16="http://schemas.microsoft.com/office/drawing/2014/chart" uri="{C3380CC4-5D6E-409C-BE32-E72D297353CC}">
              <c16:uniqueId val="{00000000-60B6-497E-A3D5-350FAC3BDC4B}"/>
            </c:ext>
          </c:extLst>
        </c:ser>
        <c:ser>
          <c:idx val="1"/>
          <c:order val="1"/>
          <c:tx>
            <c:strRef>
              <c:f>Quarterly_Analysis!$C$3</c:f>
              <c:strCache>
                <c:ptCount val="1"/>
                <c:pt idx="0">
                  <c:v>Sum of Profit</c:v>
                </c:pt>
              </c:strCache>
            </c:strRef>
          </c:tx>
          <c:spPr>
            <a:solidFill>
              <a:schemeClr val="accent2">
                <a:alpha val="70000"/>
              </a:schemeClr>
            </a:solidFill>
            <a:ln>
              <a:noFill/>
            </a:ln>
            <a:effectLst/>
          </c:spPr>
          <c:invertIfNegative val="0"/>
          <c:cat>
            <c:strRef>
              <c:f>Quarterly_Analysis!$A$4:$A$8</c:f>
              <c:strCache>
                <c:ptCount val="4"/>
                <c:pt idx="0">
                  <c:v>Qtr1</c:v>
                </c:pt>
                <c:pt idx="1">
                  <c:v>Qtr2</c:v>
                </c:pt>
                <c:pt idx="2">
                  <c:v>Qtr3</c:v>
                </c:pt>
                <c:pt idx="3">
                  <c:v>Qtr4</c:v>
                </c:pt>
              </c:strCache>
            </c:strRef>
          </c:cat>
          <c:val>
            <c:numRef>
              <c:f>Quarterly_Analysis!$C$4:$C$8</c:f>
              <c:numCache>
                <c:formatCode>General</c:formatCode>
                <c:ptCount val="4"/>
                <c:pt idx="0">
                  <c:v>1204144.4000000013</c:v>
                </c:pt>
                <c:pt idx="1">
                  <c:v>1144858.4100000004</c:v>
                </c:pt>
                <c:pt idx="2">
                  <c:v>1343338.92</c:v>
                </c:pt>
                <c:pt idx="3">
                  <c:v>1525745.4</c:v>
                </c:pt>
              </c:numCache>
            </c:numRef>
          </c:val>
          <c:extLst>
            <c:ext xmlns:c16="http://schemas.microsoft.com/office/drawing/2014/chart" uri="{C3380CC4-5D6E-409C-BE32-E72D297353CC}">
              <c16:uniqueId val="{00000001-60B6-497E-A3D5-350FAC3BDC4B}"/>
            </c:ext>
          </c:extLst>
        </c:ser>
        <c:dLbls>
          <c:showLegendKey val="0"/>
          <c:showVal val="0"/>
          <c:showCatName val="0"/>
          <c:showSerName val="0"/>
          <c:showPercent val="0"/>
          <c:showBubbleSize val="0"/>
        </c:dLbls>
        <c:gapWidth val="80"/>
        <c:overlap val="25"/>
        <c:axId val="624437439"/>
        <c:axId val="1513113167"/>
      </c:barChart>
      <c:catAx>
        <c:axId val="624437439"/>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513113167"/>
        <c:crosses val="autoZero"/>
        <c:auto val="1"/>
        <c:lblAlgn val="ctr"/>
        <c:lblOffset val="100"/>
        <c:noMultiLvlLbl val="0"/>
      </c:catAx>
      <c:valAx>
        <c:axId val="1513113167"/>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62443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[SalesData_Backup.xlsx]Channel_Analysis!PivotTable5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Channel vs Profit vs Order_id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Channel_Analysis!$B$3</c:f>
              <c:strCache>
                <c:ptCount val="1"/>
                <c:pt idx="0">
                  <c:v>Sum of Sales</c:v>
                </c:pt>
              </c:strCache>
            </c:strRef>
          </c:tx>
          <c:spPr>
            <a:solidFill>
              <a:schemeClr val="accent1"/>
            </a:solidFill>
            <a:ln>
              <a:noFill/>
            </a:ln>
            <a:effectLst/>
            <a:sp3d/>
          </c:spPr>
          <c:invertIfNegative val="0"/>
          <c:cat>
            <c:strRef>
              <c:f>Channel_Analysis!$A$4:$A$6</c:f>
              <c:strCache>
                <c:ptCount val="2"/>
                <c:pt idx="0">
                  <c:v>Online</c:v>
                </c:pt>
                <c:pt idx="1">
                  <c:v>Store</c:v>
                </c:pt>
              </c:strCache>
            </c:strRef>
          </c:cat>
          <c:val>
            <c:numRef>
              <c:f>Channel_Analysis!$B$4:$B$6</c:f>
              <c:numCache>
                <c:formatCode>General</c:formatCode>
                <c:ptCount val="2"/>
                <c:pt idx="0">
                  <c:v>3311980.8899999997</c:v>
                </c:pt>
                <c:pt idx="1">
                  <c:v>2599040.3800000004</c:v>
                </c:pt>
              </c:numCache>
            </c:numRef>
          </c:val>
          <c:extLst>
            <c:ext xmlns:c16="http://schemas.microsoft.com/office/drawing/2014/chart" uri="{C3380CC4-5D6E-409C-BE32-E72D297353CC}">
              <c16:uniqueId val="{00000000-B7BA-469A-8DE9-9DFDDABCA0EF}"/>
            </c:ext>
          </c:extLst>
        </c:ser>
        <c:ser>
          <c:idx val="1"/>
          <c:order val="1"/>
          <c:tx>
            <c:strRef>
              <c:f>Channel_Analysis!$C$3</c:f>
              <c:strCache>
                <c:ptCount val="1"/>
                <c:pt idx="0">
                  <c:v>Sum of Profit</c:v>
                </c:pt>
              </c:strCache>
            </c:strRef>
          </c:tx>
          <c:spPr>
            <a:solidFill>
              <a:schemeClr val="accent2"/>
            </a:solidFill>
            <a:ln>
              <a:noFill/>
            </a:ln>
            <a:effectLst/>
            <a:sp3d/>
          </c:spPr>
          <c:invertIfNegative val="0"/>
          <c:cat>
            <c:strRef>
              <c:f>Channel_Analysis!$A$4:$A$6</c:f>
              <c:strCache>
                <c:ptCount val="2"/>
                <c:pt idx="0">
                  <c:v>Online</c:v>
                </c:pt>
                <c:pt idx="1">
                  <c:v>Store</c:v>
                </c:pt>
              </c:strCache>
            </c:strRef>
          </c:cat>
          <c:val>
            <c:numRef>
              <c:f>Channel_Analysis!$C$4:$C$6</c:f>
              <c:numCache>
                <c:formatCode>General</c:formatCode>
                <c:ptCount val="2"/>
                <c:pt idx="0">
                  <c:v>689563.86000000034</c:v>
                </c:pt>
                <c:pt idx="1">
                  <c:v>520486.56</c:v>
                </c:pt>
              </c:numCache>
            </c:numRef>
          </c:val>
          <c:extLst>
            <c:ext xmlns:c16="http://schemas.microsoft.com/office/drawing/2014/chart" uri="{C3380CC4-5D6E-409C-BE32-E72D297353CC}">
              <c16:uniqueId val="{00000001-B7BA-469A-8DE9-9DFDDABCA0EF}"/>
            </c:ext>
          </c:extLst>
        </c:ser>
        <c:ser>
          <c:idx val="2"/>
          <c:order val="2"/>
          <c:tx>
            <c:strRef>
              <c:f>Channel_Analysis!$D$3</c:f>
              <c:strCache>
                <c:ptCount val="1"/>
                <c:pt idx="0">
                  <c:v>Count of Order_ID</c:v>
                </c:pt>
              </c:strCache>
            </c:strRef>
          </c:tx>
          <c:spPr>
            <a:solidFill>
              <a:schemeClr val="accent3"/>
            </a:solidFill>
            <a:ln>
              <a:noFill/>
            </a:ln>
            <a:effectLst/>
            <a:sp3d/>
          </c:spPr>
          <c:invertIfNegative val="0"/>
          <c:cat>
            <c:strRef>
              <c:f>Channel_Analysis!$A$4:$A$6</c:f>
              <c:strCache>
                <c:ptCount val="2"/>
                <c:pt idx="0">
                  <c:v>Online</c:v>
                </c:pt>
                <c:pt idx="1">
                  <c:v>Store</c:v>
                </c:pt>
              </c:strCache>
            </c:strRef>
          </c:cat>
          <c:val>
            <c:numRef>
              <c:f>Channel_Analysis!$D$4:$D$6</c:f>
              <c:numCache>
                <c:formatCode>General</c:formatCode>
                <c:ptCount val="2"/>
                <c:pt idx="0">
                  <c:v>104</c:v>
                </c:pt>
                <c:pt idx="1">
                  <c:v>111</c:v>
                </c:pt>
              </c:numCache>
            </c:numRef>
          </c:val>
          <c:extLst>
            <c:ext xmlns:c16="http://schemas.microsoft.com/office/drawing/2014/chart" uri="{C3380CC4-5D6E-409C-BE32-E72D297353CC}">
              <c16:uniqueId val="{00000002-B7BA-469A-8DE9-9DFDDABCA0EF}"/>
            </c:ext>
          </c:extLst>
        </c:ser>
        <c:dLbls>
          <c:showLegendKey val="0"/>
          <c:showVal val="0"/>
          <c:showCatName val="0"/>
          <c:showSerName val="0"/>
          <c:showPercent val="0"/>
          <c:showBubbleSize val="0"/>
        </c:dLbls>
        <c:gapWidth val="150"/>
        <c:shape val="box"/>
        <c:axId val="720420480"/>
        <c:axId val="1172719248"/>
        <c:axId val="0"/>
      </c:bar3DChart>
      <c:catAx>
        <c:axId val="720420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719248"/>
        <c:crosses val="autoZero"/>
        <c:auto val="1"/>
        <c:lblAlgn val="ctr"/>
        <c:lblOffset val="100"/>
        <c:noMultiLvlLbl val="0"/>
      </c:catAx>
      <c:valAx>
        <c:axId val="1172719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420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channel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Channel_Analysis!$B$35</c:f>
              <c:strCache>
                <c:ptCount val="1"/>
                <c:pt idx="0">
                  <c:v>Sum of Sales</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Channel_Analysis!$A$36:$A$37</c:f>
              <c:strCache>
                <c:ptCount val="2"/>
                <c:pt idx="0">
                  <c:v>Online</c:v>
                </c:pt>
                <c:pt idx="1">
                  <c:v>Store</c:v>
                </c:pt>
              </c:strCache>
            </c:strRef>
          </c:cat>
          <c:val>
            <c:numRef>
              <c:f>Channel_Analysis!$B$36:$B$37</c:f>
              <c:numCache>
                <c:formatCode>General</c:formatCode>
                <c:ptCount val="2"/>
                <c:pt idx="0">
                  <c:v>13849942.11999999</c:v>
                </c:pt>
                <c:pt idx="1">
                  <c:v>12843305.009999994</c:v>
                </c:pt>
              </c:numCache>
            </c:numRef>
          </c:val>
          <c:extLst>
            <c:ext xmlns:c16="http://schemas.microsoft.com/office/drawing/2014/chart" uri="{C3380CC4-5D6E-409C-BE32-E72D297353CC}">
              <c16:uniqueId val="{00000000-F1AF-4B0E-BBB6-CB8D66E8FD59}"/>
            </c:ext>
          </c:extLst>
        </c:ser>
        <c:dLbls>
          <c:showLegendKey val="0"/>
          <c:showVal val="0"/>
          <c:showCatName val="0"/>
          <c:showSerName val="0"/>
          <c:showPercent val="0"/>
          <c:showBubbleSize val="0"/>
        </c:dLbls>
        <c:gapWidth val="65"/>
        <c:shape val="box"/>
        <c:axId val="1663487936"/>
        <c:axId val="1172720688"/>
        <c:axId val="0"/>
      </c:bar3DChart>
      <c:catAx>
        <c:axId val="16634879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72720688"/>
        <c:crosses val="autoZero"/>
        <c:auto val="1"/>
        <c:lblAlgn val="ctr"/>
        <c:lblOffset val="100"/>
        <c:noMultiLvlLbl val="0"/>
      </c:catAx>
      <c:valAx>
        <c:axId val="117272068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6348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Profit by Channel</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barChart>
        <c:barDir val="col"/>
        <c:grouping val="clustered"/>
        <c:varyColors val="0"/>
        <c:ser>
          <c:idx val="0"/>
          <c:order val="0"/>
          <c:tx>
            <c:strRef>
              <c:f>Channel_Analysis!$B$43</c:f>
              <c:strCache>
                <c:ptCount val="1"/>
                <c:pt idx="0">
                  <c:v>Sum of Profit</c:v>
                </c:pt>
              </c:strCache>
            </c:strRef>
          </c:tx>
          <c:spPr>
            <a:solidFill>
              <a:schemeClr val="accent1"/>
            </a:solidFill>
            <a:ln>
              <a:noFill/>
            </a:ln>
            <a:effectLst/>
          </c:spPr>
          <c:invertIfNegative val="0"/>
          <c:cat>
            <c:strRef>
              <c:f>Channel_Analysis!$A$44:$A$45</c:f>
              <c:strCache>
                <c:ptCount val="2"/>
                <c:pt idx="0">
                  <c:v>Online</c:v>
                </c:pt>
                <c:pt idx="1">
                  <c:v>Store</c:v>
                </c:pt>
              </c:strCache>
            </c:strRef>
          </c:cat>
          <c:val>
            <c:numRef>
              <c:f>Channel_Analysis!$B$44:$B$45</c:f>
              <c:numCache>
                <c:formatCode>General</c:formatCode>
                <c:ptCount val="2"/>
                <c:pt idx="0">
                  <c:v>2580797.84</c:v>
                </c:pt>
                <c:pt idx="1">
                  <c:v>2637289.2899999991</c:v>
                </c:pt>
              </c:numCache>
            </c:numRef>
          </c:val>
          <c:extLst>
            <c:ext xmlns:c16="http://schemas.microsoft.com/office/drawing/2014/chart" uri="{C3380CC4-5D6E-409C-BE32-E72D297353CC}">
              <c16:uniqueId val="{00000000-DDFE-4BE6-B1B9-95E3323453F7}"/>
            </c:ext>
          </c:extLst>
        </c:ser>
        <c:dLbls>
          <c:showLegendKey val="0"/>
          <c:showVal val="0"/>
          <c:showCatName val="0"/>
          <c:showSerName val="0"/>
          <c:showPercent val="0"/>
          <c:showBubbleSize val="0"/>
        </c:dLbls>
        <c:gapWidth val="267"/>
        <c:overlap val="-43"/>
        <c:axId val="19053663"/>
        <c:axId val="30059503"/>
      </c:barChart>
      <c:catAx>
        <c:axId val="1905366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30059503"/>
        <c:crosses val="autoZero"/>
        <c:auto val="1"/>
        <c:lblAlgn val="ctr"/>
        <c:lblOffset val="100"/>
        <c:noMultiLvlLbl val="0"/>
      </c:catAx>
      <c:valAx>
        <c:axId val="3005950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9053663"/>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Profit</a:t>
            </a:r>
            <a:r>
              <a:rPr lang="en-US" baseline="0"/>
              <a:t> by Customer_Segment</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spPr>
            <a:noFill/>
            <a:ln w="9525" cap="flat" cmpd="sng" algn="ctr">
              <a:solidFill>
                <a:schemeClr val="accent1"/>
              </a:solidFill>
              <a:miter lim="800000"/>
            </a:ln>
            <a:effectLst>
              <a:glow rad="63500">
                <a:schemeClr val="accent1">
                  <a:satMod val="175000"/>
                  <a:alpha val="25000"/>
                </a:schemeClr>
              </a:glow>
            </a:effectLst>
          </c:spPr>
          <c:invertIfNegative val="0"/>
          <c:cat>
            <c:strRef>
              <c:f>Segment_Analysis!$A$18:$A$20</c:f>
              <c:strCache>
                <c:ptCount val="3"/>
                <c:pt idx="0">
                  <c:v>Consumer</c:v>
                </c:pt>
                <c:pt idx="1">
                  <c:v>Corporate</c:v>
                </c:pt>
                <c:pt idx="2">
                  <c:v>Home Office</c:v>
                </c:pt>
              </c:strCache>
            </c:strRef>
          </c:cat>
          <c:val>
            <c:numRef>
              <c:f>Segment_Analysis!$B$18:$B$20</c:f>
              <c:numCache>
                <c:formatCode>General</c:formatCode>
                <c:ptCount val="3"/>
                <c:pt idx="0">
                  <c:v>1546479.52</c:v>
                </c:pt>
                <c:pt idx="1">
                  <c:v>1828620.7799999991</c:v>
                </c:pt>
                <c:pt idx="2">
                  <c:v>1842986.8300000003</c:v>
                </c:pt>
              </c:numCache>
            </c:numRef>
          </c:val>
          <c:extLst>
            <c:ext xmlns:c16="http://schemas.microsoft.com/office/drawing/2014/chart" uri="{C3380CC4-5D6E-409C-BE32-E72D297353CC}">
              <c16:uniqueId val="{00000000-0C9C-4184-97D2-640AFCC340CC}"/>
            </c:ext>
          </c:extLst>
        </c:ser>
        <c:dLbls>
          <c:showLegendKey val="0"/>
          <c:showVal val="0"/>
          <c:showCatName val="0"/>
          <c:showSerName val="0"/>
          <c:showPercent val="0"/>
          <c:showBubbleSize val="0"/>
        </c:dLbls>
        <c:gapWidth val="182"/>
        <c:overlap val="-50"/>
        <c:axId val="434873839"/>
        <c:axId val="30118063"/>
      </c:barChart>
      <c:catAx>
        <c:axId val="434873839"/>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0118063"/>
        <c:crosses val="autoZero"/>
        <c:auto val="1"/>
        <c:lblAlgn val="ctr"/>
        <c:lblOffset val="100"/>
        <c:noMultiLvlLbl val="0"/>
      </c:catAx>
      <c:valAx>
        <c:axId val="30118063"/>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34873839"/>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Sales by Payment Method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Payment_Analysis.!$A$15:$A$19</c:f>
              <c:strCache>
                <c:ptCount val="5"/>
                <c:pt idx="0">
                  <c:v>Credit Card</c:v>
                </c:pt>
                <c:pt idx="1">
                  <c:v>UPI</c:v>
                </c:pt>
                <c:pt idx="2">
                  <c:v>Net Banking</c:v>
                </c:pt>
                <c:pt idx="3">
                  <c:v>Debit Card</c:v>
                </c:pt>
                <c:pt idx="4">
                  <c:v>Cash</c:v>
                </c:pt>
              </c:strCache>
            </c:strRef>
          </c:cat>
          <c:val>
            <c:numRef>
              <c:f>Payment_Analysis.!$B$15:$B$19</c:f>
              <c:numCache>
                <c:formatCode>0.00</c:formatCode>
                <c:ptCount val="5"/>
                <c:pt idx="0">
                  <c:v>5861819.1999999974</c:v>
                </c:pt>
                <c:pt idx="1">
                  <c:v>5618429.8800000018</c:v>
                </c:pt>
                <c:pt idx="2">
                  <c:v>5436298.5000000009</c:v>
                </c:pt>
                <c:pt idx="3">
                  <c:v>5225884.95</c:v>
                </c:pt>
                <c:pt idx="4">
                  <c:v>4550814.5999999996</c:v>
                </c:pt>
              </c:numCache>
            </c:numRef>
          </c:val>
          <c:extLst>
            <c:ext xmlns:c16="http://schemas.microsoft.com/office/drawing/2014/chart" uri="{C3380CC4-5D6E-409C-BE32-E72D297353CC}">
              <c16:uniqueId val="{00000000-ACA9-4690-A349-7CB61E1F7F2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by Payment Method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Payment_Analysis.!$A$23:$A$27</c:f>
              <c:strCache>
                <c:ptCount val="5"/>
                <c:pt idx="0">
                  <c:v>Credit Card</c:v>
                </c:pt>
                <c:pt idx="1">
                  <c:v>UPI</c:v>
                </c:pt>
                <c:pt idx="2">
                  <c:v>Net Banking</c:v>
                </c:pt>
                <c:pt idx="3">
                  <c:v>Debit Card</c:v>
                </c:pt>
                <c:pt idx="4">
                  <c:v>Cash</c:v>
                </c:pt>
              </c:strCache>
            </c:strRef>
          </c:cat>
          <c:val>
            <c:numRef>
              <c:f>Payment_Analysis.!$B$23:$B$27</c:f>
              <c:numCache>
                <c:formatCode>0.00</c:formatCode>
                <c:ptCount val="5"/>
                <c:pt idx="0">
                  <c:v>1183054.7500000002</c:v>
                </c:pt>
                <c:pt idx="1">
                  <c:v>1026605.1299999997</c:v>
                </c:pt>
                <c:pt idx="2">
                  <c:v>1034856.8100000002</c:v>
                </c:pt>
                <c:pt idx="3">
                  <c:v>997928.8000000004</c:v>
                </c:pt>
                <c:pt idx="4">
                  <c:v>975641.64000000048</c:v>
                </c:pt>
              </c:numCache>
            </c:numRef>
          </c:val>
          <c:extLst>
            <c:ext xmlns:c16="http://schemas.microsoft.com/office/drawing/2014/chart" uri="{C3380CC4-5D6E-409C-BE32-E72D297353CC}">
              <c16:uniqueId val="{00000000-0EB6-4C47-BCE9-CD1B8B8F9D7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Sales by Customer_segment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Customer_segment</a:t>
          </a:r>
        </a:p>
      </cx:txPr>
    </cx:title>
    <cx:plotArea>
      <cx:plotAreaRegion>
        <cx:series layoutId="funnel" uniqueId="{582533FC-AE07-4561-B545-45A858DDC743}">
          <cx:dataLabels>
            <cx:visibility seriesName="0" categoryName="0" value="1"/>
          </cx:dataLabels>
          <cx:dataId val="0"/>
        </cx:series>
      </cx:plotAreaRegion>
      <cx:axis id="1">
        <cx:catScaling gapWidth="0.150000006"/>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5.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5.xml"/><Relationship Id="rId1" Type="http://schemas.microsoft.com/office/2014/relationships/chartEx" Target="../charts/chartEx1.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28646</xdr:colOff>
      <xdr:row>8</xdr:row>
      <xdr:rowOff>17517</xdr:rowOff>
    </xdr:from>
    <xdr:to>
      <xdr:col>7</xdr:col>
      <xdr:colOff>7619</xdr:colOff>
      <xdr:row>23</xdr:row>
      <xdr:rowOff>1226</xdr:rowOff>
    </xdr:to>
    <xdr:graphicFrame macro="">
      <xdr:nvGraphicFramePr>
        <xdr:cNvPr id="2" name="Chart 1">
          <a:extLst>
            <a:ext uri="{FF2B5EF4-FFF2-40B4-BE49-F238E27FC236}">
              <a16:creationId xmlns:a16="http://schemas.microsoft.com/office/drawing/2014/main" id="{A32F0396-456C-41E0-99A6-97054A6CA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26275</xdr:colOff>
      <xdr:row>8</xdr:row>
      <xdr:rowOff>8759</xdr:rowOff>
    </xdr:from>
    <xdr:to>
      <xdr:col>14</xdr:col>
      <xdr:colOff>13488</xdr:colOff>
      <xdr:row>23</xdr:row>
      <xdr:rowOff>8759</xdr:rowOff>
    </xdr:to>
    <xdr:graphicFrame macro="">
      <xdr:nvGraphicFramePr>
        <xdr:cNvPr id="5" name="Chart 4">
          <a:extLst>
            <a:ext uri="{FF2B5EF4-FFF2-40B4-BE49-F238E27FC236}">
              <a16:creationId xmlns:a16="http://schemas.microsoft.com/office/drawing/2014/main" id="{52FCF215-4B7D-4ABB-86C7-C896A8E47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26276</xdr:colOff>
      <xdr:row>23</xdr:row>
      <xdr:rowOff>18337</xdr:rowOff>
    </xdr:from>
    <xdr:to>
      <xdr:col>7</xdr:col>
      <xdr:colOff>1828</xdr:colOff>
      <xdr:row>36</xdr:row>
      <xdr:rowOff>18337</xdr:rowOff>
    </xdr:to>
    <xdr:graphicFrame macro="">
      <xdr:nvGraphicFramePr>
        <xdr:cNvPr id="6" name="Chart 5">
          <a:extLst>
            <a:ext uri="{FF2B5EF4-FFF2-40B4-BE49-F238E27FC236}">
              <a16:creationId xmlns:a16="http://schemas.microsoft.com/office/drawing/2014/main" id="{54F8FFE1-4460-4B50-BB7F-FE42E9A1C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17517</xdr:colOff>
      <xdr:row>23</xdr:row>
      <xdr:rowOff>26277</xdr:rowOff>
    </xdr:from>
    <xdr:to>
      <xdr:col>14</xdr:col>
      <xdr:colOff>11043</xdr:colOff>
      <xdr:row>36</xdr:row>
      <xdr:rowOff>23813</xdr:rowOff>
    </xdr:to>
    <xdr:graphicFrame macro="">
      <xdr:nvGraphicFramePr>
        <xdr:cNvPr id="7" name="Chart 6">
          <a:extLst>
            <a:ext uri="{FF2B5EF4-FFF2-40B4-BE49-F238E27FC236}">
              <a16:creationId xmlns:a16="http://schemas.microsoft.com/office/drawing/2014/main" id="{61812E8D-D37B-4459-8C41-DF1869D58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25121</xdr:colOff>
      <xdr:row>36</xdr:row>
      <xdr:rowOff>25121</xdr:rowOff>
    </xdr:from>
    <xdr:to>
      <xdr:col>4</xdr:col>
      <xdr:colOff>393561</xdr:colOff>
      <xdr:row>43</xdr:row>
      <xdr:rowOff>108856</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BFBCB017-DCBC-49A1-A2C5-39CC50B26BA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5121" y="7805542"/>
              <a:ext cx="3309493" cy="1393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415109</xdr:colOff>
      <xdr:row>36</xdr:row>
      <xdr:rowOff>48454</xdr:rowOff>
    </xdr:from>
    <xdr:to>
      <xdr:col>11</xdr:col>
      <xdr:colOff>53237</xdr:colOff>
      <xdr:row>43</xdr:row>
      <xdr:rowOff>111760</xdr:rowOff>
    </xdr:to>
    <mc:AlternateContent xmlns:mc="http://schemas.openxmlformats.org/markup-compatibility/2006">
      <mc:Choice xmlns:a14="http://schemas.microsoft.com/office/drawing/2010/main" Requires="a14">
        <xdr:graphicFrame macro="">
          <xdr:nvGraphicFramePr>
            <xdr:cNvPr id="9" name="Product">
              <a:extLst>
                <a:ext uri="{FF2B5EF4-FFF2-40B4-BE49-F238E27FC236}">
                  <a16:creationId xmlns:a16="http://schemas.microsoft.com/office/drawing/2014/main" id="{A6A17519-1B02-4508-A982-DFF490683E3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356162" y="7828875"/>
              <a:ext cx="5720759" cy="13734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75362</xdr:colOff>
      <xdr:row>36</xdr:row>
      <xdr:rowOff>33494</xdr:rowOff>
    </xdr:from>
    <xdr:to>
      <xdr:col>14</xdr:col>
      <xdr:colOff>16747</xdr:colOff>
      <xdr:row>43</xdr:row>
      <xdr:rowOff>108858</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83BC3E84-944E-4624-A115-0BA9613FBAE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099046" y="7813915"/>
              <a:ext cx="3524122" cy="13854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43</xdr:row>
      <xdr:rowOff>138545</xdr:rowOff>
    </xdr:from>
    <xdr:to>
      <xdr:col>14</xdr:col>
      <xdr:colOff>17319</xdr:colOff>
      <xdr:row>47</xdr:row>
      <xdr:rowOff>98137</xdr:rowOff>
    </xdr:to>
    <mc:AlternateContent xmlns:mc="http://schemas.openxmlformats.org/markup-compatibility/2006">
      <mc:Choice xmlns:a14="http://schemas.microsoft.com/office/drawing/2010/main" Requires="a14">
        <xdr:graphicFrame macro="">
          <xdr:nvGraphicFramePr>
            <xdr:cNvPr id="13" name="Month">
              <a:extLst>
                <a:ext uri="{FF2B5EF4-FFF2-40B4-BE49-F238E27FC236}">
                  <a16:creationId xmlns:a16="http://schemas.microsoft.com/office/drawing/2014/main" id="{E3D5B253-42D1-49E1-8C7B-C6CDB2B9026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0" y="9229071"/>
              <a:ext cx="12623740" cy="708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7620</xdr:colOff>
      <xdr:row>1</xdr:row>
      <xdr:rowOff>171450</xdr:rowOff>
    </xdr:from>
    <xdr:to>
      <xdr:col>13</xdr:col>
      <xdr:colOff>312420</xdr:colOff>
      <xdr:row>16</xdr:row>
      <xdr:rowOff>171450</xdr:rowOff>
    </xdr:to>
    <xdr:graphicFrame macro="">
      <xdr:nvGraphicFramePr>
        <xdr:cNvPr id="3" name="Chart 2">
          <a:extLst>
            <a:ext uri="{FF2B5EF4-FFF2-40B4-BE49-F238E27FC236}">
              <a16:creationId xmlns:a16="http://schemas.microsoft.com/office/drawing/2014/main" id="{BE0319C2-01B0-BDDE-BC28-2AEFD3ADE9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38100</xdr:colOff>
      <xdr:row>1</xdr:row>
      <xdr:rowOff>171450</xdr:rowOff>
    </xdr:from>
    <xdr:to>
      <xdr:col>21</xdr:col>
      <xdr:colOff>342900</xdr:colOff>
      <xdr:row>16</xdr:row>
      <xdr:rowOff>171450</xdr:rowOff>
    </xdr:to>
    <xdr:graphicFrame macro="">
      <xdr:nvGraphicFramePr>
        <xdr:cNvPr id="4" name="Chart 3">
          <a:extLst>
            <a:ext uri="{FF2B5EF4-FFF2-40B4-BE49-F238E27FC236}">
              <a16:creationId xmlns:a16="http://schemas.microsoft.com/office/drawing/2014/main" id="{7A10725C-2535-F319-DC10-17B5D55E46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15240</xdr:colOff>
      <xdr:row>2</xdr:row>
      <xdr:rowOff>15240</xdr:rowOff>
    </xdr:from>
    <xdr:to>
      <xdr:col>13</xdr:col>
      <xdr:colOff>0</xdr:colOff>
      <xdr:row>17</xdr:row>
      <xdr:rowOff>15240</xdr:rowOff>
    </xdr:to>
    <xdr:graphicFrame macro="">
      <xdr:nvGraphicFramePr>
        <xdr:cNvPr id="2" name="Chart 1">
          <a:extLst>
            <a:ext uri="{FF2B5EF4-FFF2-40B4-BE49-F238E27FC236}">
              <a16:creationId xmlns:a16="http://schemas.microsoft.com/office/drawing/2014/main" id="{5C9D6637-132B-EA57-CF36-37253A6073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22860</xdr:colOff>
      <xdr:row>17</xdr:row>
      <xdr:rowOff>68580</xdr:rowOff>
    </xdr:from>
    <xdr:to>
      <xdr:col>12</xdr:col>
      <xdr:colOff>327660</xdr:colOff>
      <xdr:row>32</xdr:row>
      <xdr:rowOff>68580</xdr:rowOff>
    </xdr:to>
    <xdr:graphicFrame macro="">
      <xdr:nvGraphicFramePr>
        <xdr:cNvPr id="3" name="Chart 2">
          <a:extLst>
            <a:ext uri="{FF2B5EF4-FFF2-40B4-BE49-F238E27FC236}">
              <a16:creationId xmlns:a16="http://schemas.microsoft.com/office/drawing/2014/main" id="{1BD332F3-0B28-5019-78A5-526BCBDAF7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327660</xdr:colOff>
      <xdr:row>17</xdr:row>
      <xdr:rowOff>64770</xdr:rowOff>
    </xdr:from>
    <xdr:to>
      <xdr:col>13</xdr:col>
      <xdr:colOff>22860</xdr:colOff>
      <xdr:row>32</xdr:row>
      <xdr:rowOff>64770</xdr:rowOff>
    </xdr:to>
    <xdr:graphicFrame macro="">
      <xdr:nvGraphicFramePr>
        <xdr:cNvPr id="8" name="Chart 7">
          <a:extLst>
            <a:ext uri="{FF2B5EF4-FFF2-40B4-BE49-F238E27FC236}">
              <a16:creationId xmlns:a16="http://schemas.microsoft.com/office/drawing/2014/main" id="{05DF0631-36EE-5472-734F-BE6F9E004B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30480</xdr:colOff>
      <xdr:row>1</xdr:row>
      <xdr:rowOff>102870</xdr:rowOff>
    </xdr:from>
    <xdr:to>
      <xdr:col>17</xdr:col>
      <xdr:colOff>457200</xdr:colOff>
      <xdr:row>21</xdr:row>
      <xdr:rowOff>137160</xdr:rowOff>
    </xdr:to>
    <xdr:graphicFrame macro="">
      <xdr:nvGraphicFramePr>
        <xdr:cNvPr id="2" name="Chart 1">
          <a:extLst>
            <a:ext uri="{FF2B5EF4-FFF2-40B4-BE49-F238E27FC236}">
              <a16:creationId xmlns:a16="http://schemas.microsoft.com/office/drawing/2014/main" id="{81A59573-2169-A4A8-205D-FE00C531B0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22860</xdr:colOff>
      <xdr:row>1</xdr:row>
      <xdr:rowOff>121920</xdr:rowOff>
    </xdr:from>
    <xdr:to>
      <xdr:col>14</xdr:col>
      <xdr:colOff>502920</xdr:colOff>
      <xdr:row>16</xdr:row>
      <xdr:rowOff>121920</xdr:rowOff>
    </xdr:to>
    <xdr:graphicFrame macro="">
      <xdr:nvGraphicFramePr>
        <xdr:cNvPr id="2" name="Chart 1">
          <a:extLst>
            <a:ext uri="{FF2B5EF4-FFF2-40B4-BE49-F238E27FC236}">
              <a16:creationId xmlns:a16="http://schemas.microsoft.com/office/drawing/2014/main" id="{8FBAC7CB-7D25-53AD-AC42-0DA739A30E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422189</xdr:colOff>
      <xdr:row>11</xdr:row>
      <xdr:rowOff>183420</xdr:rowOff>
    </xdr:from>
    <xdr:to>
      <xdr:col>13</xdr:col>
      <xdr:colOff>406309</xdr:colOff>
      <xdr:row>30</xdr:row>
      <xdr:rowOff>31419</xdr:rowOff>
    </xdr:to>
    <xdr:graphicFrame macro="">
      <xdr:nvGraphicFramePr>
        <xdr:cNvPr id="3" name="Chart 2">
          <a:extLst>
            <a:ext uri="{FF2B5EF4-FFF2-40B4-BE49-F238E27FC236}">
              <a16:creationId xmlns:a16="http://schemas.microsoft.com/office/drawing/2014/main" id="{8A756FB5-C253-8378-C8F0-334C2EAA79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100913</xdr:colOff>
      <xdr:row>12</xdr:row>
      <xdr:rowOff>16475</xdr:rowOff>
    </xdr:from>
    <xdr:to>
      <xdr:col>24</xdr:col>
      <xdr:colOff>298621</xdr:colOff>
      <xdr:row>29</xdr:row>
      <xdr:rowOff>164757</xdr:rowOff>
    </xdr:to>
    <xdr:graphicFrame macro="">
      <xdr:nvGraphicFramePr>
        <xdr:cNvPr id="5" name="Chart 4">
          <a:extLst>
            <a:ext uri="{FF2B5EF4-FFF2-40B4-BE49-F238E27FC236}">
              <a16:creationId xmlns:a16="http://schemas.microsoft.com/office/drawing/2014/main" id="{E245B739-1B83-A428-9414-BF15EB44F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102972</xdr:colOff>
      <xdr:row>30</xdr:row>
      <xdr:rowOff>121508</xdr:rowOff>
    </xdr:from>
    <xdr:to>
      <xdr:col>24</xdr:col>
      <xdr:colOff>257431</xdr:colOff>
      <xdr:row>45</xdr:row>
      <xdr:rowOff>84438</xdr:rowOff>
    </xdr:to>
    <xdr:graphicFrame macro="">
      <xdr:nvGraphicFramePr>
        <xdr:cNvPr id="7" name="Chart 6">
          <a:extLst>
            <a:ext uri="{FF2B5EF4-FFF2-40B4-BE49-F238E27FC236}">
              <a16:creationId xmlns:a16="http://schemas.microsoft.com/office/drawing/2014/main" id="{B1F3DD5B-2839-AAD7-0D4C-9B6A0DF809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15240</xdr:colOff>
      <xdr:row>8</xdr:row>
      <xdr:rowOff>140970</xdr:rowOff>
    </xdr:from>
    <xdr:to>
      <xdr:col>11</xdr:col>
      <xdr:colOff>114300</xdr:colOff>
      <xdr:row>25</xdr:row>
      <xdr:rowOff>53340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B64E5960-DC44-4912-3D9F-EC627671D43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529840" y="1604010"/>
              <a:ext cx="5593080" cy="302133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358140</xdr:colOff>
      <xdr:row>8</xdr:row>
      <xdr:rowOff>102870</xdr:rowOff>
    </xdr:from>
    <xdr:to>
      <xdr:col>22</xdr:col>
      <xdr:colOff>381000</xdr:colOff>
      <xdr:row>25</xdr:row>
      <xdr:rowOff>0</xdr:rowOff>
    </xdr:to>
    <xdr:graphicFrame macro="">
      <xdr:nvGraphicFramePr>
        <xdr:cNvPr id="3" name="Chart 2">
          <a:extLst>
            <a:ext uri="{FF2B5EF4-FFF2-40B4-BE49-F238E27FC236}">
              <a16:creationId xmlns:a16="http://schemas.microsoft.com/office/drawing/2014/main" id="{8ECC9193-21AA-138E-F0B3-3C50919D76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22860</xdr:colOff>
      <xdr:row>13</xdr:row>
      <xdr:rowOff>95250</xdr:rowOff>
    </xdr:from>
    <xdr:to>
      <xdr:col>7</xdr:col>
      <xdr:colOff>563880</xdr:colOff>
      <xdr:row>28</xdr:row>
      <xdr:rowOff>95250</xdr:rowOff>
    </xdr:to>
    <xdr:graphicFrame macro="">
      <xdr:nvGraphicFramePr>
        <xdr:cNvPr id="2" name="Chart 1">
          <a:extLst>
            <a:ext uri="{FF2B5EF4-FFF2-40B4-BE49-F238E27FC236}">
              <a16:creationId xmlns:a16="http://schemas.microsoft.com/office/drawing/2014/main" id="{C342F3D4-427E-86B5-1D1B-C5F0B8ED03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693420</xdr:colOff>
      <xdr:row>13</xdr:row>
      <xdr:rowOff>95250</xdr:rowOff>
    </xdr:from>
    <xdr:to>
      <xdr:col>13</xdr:col>
      <xdr:colOff>30480</xdr:colOff>
      <xdr:row>28</xdr:row>
      <xdr:rowOff>95250</xdr:rowOff>
    </xdr:to>
    <xdr:graphicFrame macro="">
      <xdr:nvGraphicFramePr>
        <xdr:cNvPr id="3" name="Chart 2">
          <a:extLst>
            <a:ext uri="{FF2B5EF4-FFF2-40B4-BE49-F238E27FC236}">
              <a16:creationId xmlns:a16="http://schemas.microsoft.com/office/drawing/2014/main" id="{29FB9D01-5085-4729-448B-B93BE8C87D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ikm" refreshedDate="46304.976937731481" createdVersion="8" refreshedVersion="8" minRefreshableVersion="3" recordCount="1000" xr:uid="{6B5D4ED8-569E-45C9-AF81-D35401C04D16}">
  <cacheSource type="worksheet">
    <worksheetSource name="SalesData"/>
  </cacheSource>
  <cacheFields count="23">
    <cacheField name="Order_ID" numFmtId="0">
      <sharedItems containsSemiMixedTypes="0" containsString="0" containsNumber="1" containsInteger="1" minValue="1" maxValue="1000" count="1000">
        <n v="476"/>
        <n v="222"/>
        <n v="835"/>
        <n v="585"/>
        <n v="306"/>
        <n v="371"/>
        <n v="554"/>
        <n v="36"/>
        <n v="108"/>
        <n v="555"/>
        <n v="944"/>
        <n v="396"/>
        <n v="253"/>
        <n v="559"/>
        <n v="791"/>
        <n v="114"/>
        <n v="76"/>
        <n v="893"/>
        <n v="449"/>
        <n v="954"/>
        <n v="468"/>
        <n v="315"/>
        <n v="696"/>
        <n v="237"/>
        <n v="129"/>
        <n v="51"/>
        <n v="993"/>
        <n v="463"/>
        <n v="976"/>
        <n v="300"/>
        <n v="736"/>
        <n v="690"/>
        <n v="469"/>
        <n v="73"/>
        <n v="362"/>
        <n v="447"/>
        <n v="914"/>
        <n v="495"/>
        <n v="41"/>
        <n v="558"/>
        <n v="477"/>
        <n v="902"/>
        <n v="446"/>
        <n v="652"/>
        <n v="579"/>
        <n v="271"/>
        <n v="488"/>
        <n v="962"/>
        <n v="235"/>
        <n v="833"/>
        <n v="608"/>
        <n v="848"/>
        <n v="992"/>
        <n v="122"/>
        <n v="509"/>
        <n v="796"/>
        <n v="47"/>
        <n v="391"/>
        <n v="703"/>
        <n v="916"/>
        <n v="424"/>
        <n v="456"/>
        <n v="156"/>
        <n v="207"/>
        <n v="23"/>
        <n v="299"/>
        <n v="124"/>
        <n v="672"/>
        <n v="692"/>
        <n v="794"/>
        <n v="485"/>
        <n v="43"/>
        <n v="797"/>
        <n v="868"/>
        <n v="174"/>
        <n v="773"/>
        <n v="280"/>
        <n v="67"/>
        <n v="457"/>
        <n v="524"/>
        <n v="686"/>
        <n v="272"/>
        <n v="877"/>
        <n v="841"/>
        <n v="336"/>
        <n v="941"/>
        <n v="193"/>
        <n v="263"/>
        <n v="887"/>
        <n v="878"/>
        <n v="691"/>
        <n v="5"/>
        <n v="75"/>
        <n v="204"/>
        <n v="786"/>
        <n v="809"/>
        <n v="79"/>
        <n v="734"/>
        <n v="741"/>
        <n v="74"/>
        <n v="148"/>
        <n v="437"/>
        <n v="70"/>
        <n v="975"/>
        <n v="294"/>
        <n v="496"/>
        <n v="7"/>
        <n v="779"/>
        <n v="498"/>
        <n v="182"/>
        <n v="884"/>
        <n v="695"/>
        <n v="304"/>
        <n v="394"/>
        <n v="12"/>
        <n v="595"/>
        <n v="130"/>
        <n v="901"/>
        <n v="224"/>
        <n v="499"/>
        <n v="72"/>
        <n v="906"/>
        <n v="823"/>
        <n v="694"/>
        <n v="683"/>
        <n v="187"/>
        <n v="538"/>
        <n v="337"/>
        <n v="308"/>
        <n v="301"/>
        <n v="673"/>
        <n v="568"/>
        <n v="157"/>
        <n v="869"/>
        <n v="264"/>
        <n v="723"/>
        <n v="195"/>
        <n v="432"/>
        <n v="777"/>
        <n v="85"/>
        <n v="288"/>
        <n v="542"/>
        <n v="681"/>
        <n v="998"/>
        <n v="487"/>
        <n v="359"/>
        <n v="166"/>
        <n v="837"/>
        <n v="753"/>
        <n v="827"/>
        <n v="64"/>
        <n v="62"/>
        <n v="115"/>
        <n v="241"/>
        <n v="587"/>
        <n v="9"/>
        <n v="978"/>
        <n v="846"/>
        <n v="566"/>
        <n v="145"/>
        <n v="454"/>
        <n v="875"/>
        <n v="644"/>
        <n v="230"/>
        <n v="952"/>
        <n v="560"/>
        <n v="669"/>
        <n v="891"/>
        <n v="883"/>
        <n v="164"/>
        <n v="504"/>
        <n v="590"/>
        <n v="34"/>
        <n v="838"/>
        <n v="462"/>
        <n v="325"/>
        <n v="254"/>
        <n v="206"/>
        <n v="949"/>
        <n v="475"/>
        <n v="383"/>
        <n v="785"/>
        <n v="830"/>
        <n v="205"/>
        <n v="851"/>
        <n v="598"/>
        <n v="374"/>
        <n v="57"/>
        <n v="729"/>
        <n v="416"/>
        <n v="242"/>
        <n v="317"/>
        <n v="574"/>
        <n v="826"/>
        <n v="580"/>
        <n v="409"/>
        <n v="501"/>
        <n v="864"/>
        <n v="781"/>
        <n v="783"/>
        <n v="728"/>
        <n v="969"/>
        <n v="527"/>
        <n v="314"/>
        <n v="492"/>
        <n v="125"/>
        <n v="433"/>
        <n v="573"/>
        <n v="118"/>
        <n v="302"/>
        <n v="136"/>
        <n v="414"/>
        <n v="707"/>
        <n v="843"/>
        <n v="649"/>
        <n v="287"/>
        <n v="910"/>
        <n v="768"/>
        <n v="678"/>
        <n v="461"/>
        <n v="706"/>
        <n v="935"/>
        <n v="745"/>
        <n v="134"/>
        <n v="201"/>
        <n v="388"/>
        <n v="972"/>
        <n v="983"/>
        <n v="320"/>
        <n v="853"/>
        <n v="617"/>
        <n v="354"/>
        <n v="233"/>
        <n v="240"/>
        <n v="355"/>
        <n v="604"/>
        <n v="342"/>
        <n v="412"/>
        <n v="784"/>
        <n v="192"/>
        <n v="11"/>
        <n v="491"/>
        <n v="480"/>
        <n v="572"/>
        <n v="804"/>
        <n v="861"/>
        <n v="210"/>
        <n v="59"/>
        <n v="880"/>
        <n v="486"/>
        <n v="474"/>
        <n v="913"/>
        <n v="15"/>
        <n v="216"/>
        <n v="324"/>
        <n v="426"/>
        <n v="217"/>
        <n v="621"/>
        <n v="107"/>
        <n v="194"/>
        <n v="251"/>
        <n v="21"/>
        <n v="798"/>
        <n v="140"/>
        <n v="116"/>
        <n v="876"/>
        <n v="239"/>
        <n v="530"/>
        <n v="586"/>
        <n v="551"/>
        <n v="363"/>
        <n v="397"/>
        <n v="508"/>
        <n v="879"/>
        <n v="236"/>
        <n v="146"/>
        <n v="849"/>
        <n v="886"/>
        <n v="489"/>
        <n v="922"/>
        <n v="303"/>
        <n v="995"/>
        <n v="953"/>
        <n v="344"/>
        <n v="769"/>
        <n v="274"/>
        <n v="567"/>
        <n v="318"/>
        <n v="61"/>
        <n v="766"/>
        <n v="482"/>
        <n v="150"/>
        <n v="569"/>
        <n v="322"/>
        <n v="291"/>
        <n v="168"/>
        <n v="596"/>
        <n v="765"/>
        <n v="330"/>
        <n v="470"/>
        <n v="494"/>
        <n v="825"/>
        <n v="948"/>
        <n v="440"/>
        <n v="430"/>
        <n v="497"/>
        <n v="924"/>
        <n v="965"/>
        <n v="335"/>
        <n v="377"/>
        <n v="942"/>
        <n v="603"/>
        <n v="888"/>
        <n v="160"/>
        <n v="226"/>
        <n v="445"/>
        <n v="977"/>
        <n v="190"/>
        <n v="436"/>
        <n v="31"/>
        <n v="912"/>
        <n v="361"/>
        <n v="866"/>
        <n v="512"/>
        <n v="817"/>
        <n v="824"/>
        <n v="459"/>
        <n v="307"/>
        <n v="32"/>
        <n v="812"/>
        <n v="369"/>
        <n v="419"/>
        <n v="238"/>
        <n v="950"/>
        <n v="153"/>
        <n v="610"/>
        <n v="16"/>
        <n v="367"/>
        <n v="756"/>
        <n v="685"/>
        <n v="763"/>
        <n v="196"/>
        <n v="943"/>
        <n v="353"/>
        <n v="218"/>
        <n v="179"/>
        <n v="655"/>
        <n v="442"/>
        <n v="600"/>
        <n v="276"/>
        <n v="172"/>
        <n v="329"/>
        <n v="503"/>
        <n v="575"/>
        <n v="630"/>
        <n v="933"/>
        <n v="860"/>
        <n v="277"/>
        <n v="327"/>
        <n v="373"/>
        <n v="350"/>
        <n v="60"/>
        <n v="828"/>
        <n v="816"/>
        <n v="384"/>
        <n v="221"/>
        <n v="666"/>
        <n v="605"/>
        <n v="376"/>
        <n v="805"/>
        <n v="556"/>
        <n v="464"/>
        <n v="648"/>
        <n v="759"/>
        <n v="528"/>
        <n v="171"/>
        <n v="143"/>
        <n v="667"/>
        <n v="775"/>
        <n v="743"/>
        <n v="56"/>
        <n v="97"/>
        <n v="940"/>
        <n v="252"/>
        <n v="994"/>
        <n v="18"/>
        <n v="718"/>
        <n v="312"/>
        <n v="88"/>
        <n v="382"/>
        <n v="771"/>
        <n v="813"/>
        <n v="505"/>
        <n v="398"/>
        <n v="225"/>
        <n v="532"/>
        <n v="162"/>
        <n v="601"/>
        <n v="93"/>
        <n v="923"/>
        <n v="987"/>
        <n v="721"/>
        <n v="185"/>
        <n v="814"/>
        <n v="576"/>
        <n v="326"/>
        <n v="102"/>
        <n v="155"/>
        <n v="689"/>
        <n v="862"/>
        <n v="535"/>
        <n v="885"/>
        <n v="284"/>
        <n v="873"/>
        <n v="749"/>
        <n v="275"/>
        <n v="811"/>
        <n v="111"/>
        <n v="152"/>
        <n v="410"/>
        <n v="417"/>
        <n v="928"/>
        <n v="20"/>
        <n v="147"/>
        <n v="425"/>
        <n v="539"/>
        <n v="668"/>
        <n v="656"/>
        <n v="208"/>
        <n v="865"/>
        <n v="267"/>
        <n v="932"/>
        <n v="290"/>
        <n v="8"/>
        <n v="727"/>
        <n v="348"/>
        <n v="90"/>
        <n v="802"/>
        <n v="548"/>
        <n v="715"/>
        <n v="212"/>
        <n v="523"/>
        <n v="700"/>
        <n v="209"/>
        <n v="900"/>
        <n v="352"/>
        <n v="597"/>
        <n v="744"/>
        <n v="845"/>
        <n v="754"/>
        <n v="593"/>
        <n v="897"/>
        <n v="973"/>
        <n v="936"/>
        <n v="45"/>
        <n v="405"/>
        <n v="450"/>
        <n v="653"/>
        <n v="757"/>
        <n v="840"/>
        <n v="581"/>
        <n v="733"/>
        <n v="671"/>
        <n v="42"/>
        <n v="751"/>
        <n v="980"/>
        <n v="473"/>
        <n v="844"/>
        <n v="867"/>
        <n v="231"/>
        <n v="788"/>
        <n v="37"/>
        <n v="452"/>
        <n v="408"/>
        <n v="895"/>
        <n v="960"/>
        <n v="493"/>
        <n v="583"/>
        <n v="220"/>
        <n v="938"/>
        <n v="602"/>
        <n v="181"/>
        <n v="506"/>
        <n v="665"/>
        <n v="565"/>
        <n v="761"/>
        <n v="951"/>
        <n v="378"/>
        <n v="584"/>
        <n v="675"/>
        <n v="259"/>
        <n v="435"/>
        <n v="281"/>
        <n v="925"/>
        <n v="790"/>
        <n v="525"/>
        <n v="33"/>
        <n v="618"/>
        <n v="3"/>
        <n v="99"/>
        <n v="717"/>
        <n v="627"/>
        <n v="637"/>
        <n v="762"/>
        <n v="305"/>
        <n v="934"/>
        <n v="701"/>
        <n v="626"/>
        <n v="663"/>
        <n v="71"/>
        <n v="939"/>
        <n v="278"/>
        <n v="248"/>
        <n v="918"/>
        <n v="165"/>
        <n v="731"/>
        <n v="483"/>
        <n v="552"/>
        <n v="385"/>
        <n v="395"/>
        <n v="857"/>
        <n v="807"/>
        <n v="78"/>
        <n v="760"/>
        <n v="293"/>
        <n v="632"/>
        <n v="427"/>
        <n v="549"/>
        <n v="515"/>
        <n v="834"/>
        <n v="479"/>
        <n v="161"/>
        <n v="930"/>
        <n v="903"/>
        <n v="664"/>
        <n v="345"/>
        <n v="772"/>
        <n v="679"/>
        <n v="739"/>
        <n v="750"/>
        <n v="465"/>
        <n v="338"/>
        <n v="859"/>
        <n v="858"/>
        <n v="22"/>
        <n v="379"/>
        <n v="393"/>
        <n v="546"/>
        <n v="959"/>
        <n v="636"/>
        <n v="776"/>
        <n v="654"/>
        <n v="365"/>
        <n v="138"/>
        <n v="351"/>
        <n v="543"/>
        <n v="730"/>
        <n v="52"/>
        <n v="657"/>
        <n v="180"/>
        <n v="724"/>
        <n v="323"/>
        <n v="328"/>
        <n v="970"/>
        <n v="606"/>
        <n v="443"/>
        <n v="44"/>
        <n v="990"/>
        <n v="533"/>
        <n v="65"/>
        <n v="742"/>
        <n v="645"/>
        <n v="582"/>
        <n v="500"/>
        <n v="346"/>
        <n v="519"/>
        <n v="684"/>
        <n v="10"/>
        <n v="619"/>
        <n v="82"/>
        <n v="540"/>
        <n v="370"/>
        <n v="255"/>
        <n v="386"/>
        <n v="466"/>
        <n v="872"/>
        <n v="429"/>
        <n v="375"/>
        <n v="643"/>
        <n v="123"/>
        <n v="35"/>
        <n v="997"/>
        <n v="58"/>
        <n v="800"/>
        <n v="710"/>
        <n v="407"/>
        <n v="256"/>
        <n v="401"/>
        <n v="911"/>
        <n v="881"/>
        <n v="639"/>
        <n v="117"/>
        <n v="40"/>
        <n v="616"/>
        <n v="213"/>
        <n v="746"/>
        <n v="792"/>
        <n v="999"/>
        <n v="80"/>
        <n v="481"/>
        <n v="620"/>
        <n v="103"/>
        <n v="631"/>
        <n v="366"/>
        <n v="439"/>
        <n v="904"/>
        <n v="178"/>
        <n v="855"/>
        <n v="262"/>
        <n v="50"/>
        <n v="451"/>
        <n v="94"/>
        <n v="149"/>
        <n v="961"/>
        <n v="261"/>
        <n v="986"/>
        <n v="738"/>
        <n v="550"/>
        <n v="624"/>
        <n v="68"/>
        <n v="931"/>
        <n v="808"/>
        <n v="110"/>
        <n v="400"/>
        <n v="919"/>
        <n v="403"/>
        <n v="332"/>
        <n v="298"/>
        <n v="490"/>
        <n v="836"/>
        <n v="870"/>
        <n v="1000"/>
        <n v="17"/>
        <n v="985"/>
        <n v="183"/>
        <n v="38"/>
        <n v="588"/>
        <n v="534"/>
        <n v="133"/>
        <n v="629"/>
        <n v="882"/>
        <n v="420"/>
        <n v="81"/>
        <n v="810"/>
        <n v="202"/>
        <n v="592"/>
        <n v="415"/>
        <n v="472"/>
        <n v="518"/>
        <n v="286"/>
        <n v="109"/>
        <n v="282"/>
        <n v="309"/>
        <n v="296"/>
        <n v="289"/>
        <n v="819"/>
        <n v="635"/>
        <n v="101"/>
        <n v="106"/>
        <n v="200"/>
        <n v="399"/>
        <n v="520"/>
        <n v="854"/>
        <n v="513"/>
        <n v="198"/>
        <n v="404"/>
        <n v="907"/>
        <n v="228"/>
        <n v="789"/>
        <n v="611"/>
        <n v="589"/>
        <n v="347"/>
        <n v="339"/>
        <n v="191"/>
        <n v="357"/>
        <n v="173"/>
        <n v="614"/>
        <n v="892"/>
        <n v="232"/>
        <n v="640"/>
        <n v="957"/>
        <n v="522"/>
        <n v="188"/>
        <n v="638"/>
        <n v="163"/>
        <n v="778"/>
        <n v="521"/>
        <n v="578"/>
        <n v="197"/>
        <n v="793"/>
        <n v="186"/>
        <n v="612"/>
        <n v="247"/>
        <n v="119"/>
        <n v="135"/>
        <n v="818"/>
        <n v="177"/>
        <n v="981"/>
        <n v="502"/>
        <n v="92"/>
        <n v="801"/>
        <n v="258"/>
        <n v="30"/>
        <n v="842"/>
        <n v="996"/>
        <n v="920"/>
        <n v="176"/>
        <n v="822"/>
        <n v="100"/>
        <n v="609"/>
        <n v="674"/>
        <n v="758"/>
        <n v="428"/>
        <n v="141"/>
        <n v="708"/>
        <n v="105"/>
        <n v="770"/>
        <n v="144"/>
        <n v="719"/>
        <n v="6"/>
        <n v="915"/>
        <n v="908"/>
        <n v="411"/>
        <n v="755"/>
        <n v="27"/>
        <n v="478"/>
        <n v="285"/>
        <n v="659"/>
        <n v="406"/>
        <n v="752"/>
        <n v="244"/>
        <n v="358"/>
        <n v="764"/>
        <n v="471"/>
        <n v="211"/>
        <n v="2"/>
        <n v="341"/>
        <n v="292"/>
        <n v="946"/>
        <n v="434"/>
        <n v="562"/>
        <n v="507"/>
        <n v="599"/>
        <n v="714"/>
        <n v="984"/>
        <n v="295"/>
        <n v="26"/>
        <n v="767"/>
        <n v="832"/>
        <n v="269"/>
        <n v="381"/>
        <n v="54"/>
        <n v="334"/>
        <n v="13"/>
        <n v="389"/>
        <n v="316"/>
        <n v="852"/>
        <n v="889"/>
        <n v="448"/>
        <n v="702"/>
        <n v="545"/>
        <n v="89"/>
        <n v="591"/>
        <n v="422"/>
        <n v="815"/>
        <n v="368"/>
        <n v="693"/>
        <n v="623"/>
        <n v="169"/>
        <n v="898"/>
        <n v="126"/>
        <n v="69"/>
        <n v="331"/>
        <n v="132"/>
        <n v="839"/>
        <n v="154"/>
        <n v="740"/>
        <n v="747"/>
        <n v="529"/>
        <n v="112"/>
        <n v="780"/>
        <n v="577"/>
        <n v="607"/>
        <n v="86"/>
        <n v="909"/>
        <n v="66"/>
        <n v="266"/>
        <n v="514"/>
        <n v="820"/>
        <n v="680"/>
        <n v="203"/>
        <n v="982"/>
        <n v="356"/>
        <n v="360"/>
        <n v="413"/>
        <n v="964"/>
        <n v="782"/>
        <n v="84"/>
        <n v="537"/>
        <n v="214"/>
        <n v="402"/>
        <n v="19"/>
        <n v="651"/>
        <n v="799"/>
        <n v="563"/>
        <n v="725"/>
        <n v="137"/>
        <n v="564"/>
        <n v="283"/>
        <n v="748"/>
        <n v="223"/>
        <n v="642"/>
        <n v="894"/>
        <n v="863"/>
        <n v="273"/>
        <n v="390"/>
        <n v="676"/>
        <n v="104"/>
        <n v="127"/>
        <n v="856"/>
        <n v="516"/>
        <n v="967"/>
        <n v="349"/>
        <n v="688"/>
        <n v="594"/>
        <n v="139"/>
        <n v="249"/>
        <n v="431"/>
        <n v="333"/>
        <n v="628"/>
        <n v="536"/>
        <n v="929"/>
        <n v="227"/>
        <n v="613"/>
        <n v="633"/>
        <n v="159"/>
        <n v="641"/>
        <n v="421"/>
        <n v="453"/>
        <n v="55"/>
        <n v="571"/>
        <n v="53"/>
        <n v="279"/>
        <n v="968"/>
        <n v="989"/>
        <n v="28"/>
        <n v="243"/>
        <n v="199"/>
        <n v="39"/>
        <n v="319"/>
        <n v="14"/>
        <n v="622"/>
        <n v="189"/>
        <n v="268"/>
        <n v="4"/>
        <n v="958"/>
        <n v="795"/>
        <n v="392"/>
        <n v="49"/>
        <n v="24"/>
        <n v="310"/>
        <n v="803"/>
        <n v="467"/>
        <n v="343"/>
        <n v="658"/>
        <n v="871"/>
        <n v="615"/>
        <n v="364"/>
        <n v="829"/>
        <n v="890"/>
        <n v="737"/>
        <n v="128"/>
        <n v="687"/>
        <n v="387"/>
        <n v="547"/>
        <n v="974"/>
        <n v="257"/>
        <n v="83"/>
        <n v="526"/>
        <n v="423"/>
        <n v="874"/>
        <n v="229"/>
        <n v="245"/>
        <n v="937"/>
        <n v="544"/>
        <n v="561"/>
        <n v="945"/>
        <n v="553"/>
        <n v="806"/>
        <n v="677"/>
        <n v="661"/>
        <n v="650"/>
        <n v="660"/>
        <n v="1"/>
        <n v="662"/>
        <n v="709"/>
        <n v="991"/>
        <n v="899"/>
        <n v="167"/>
        <n v="142"/>
        <n v="670"/>
        <n v="484"/>
        <n v="175"/>
        <n v="418"/>
        <n v="774"/>
        <n v="947"/>
        <n v="979"/>
        <n v="372"/>
        <n v="963"/>
        <n v="444"/>
        <n v="682"/>
        <n v="170"/>
        <n v="29"/>
        <n v="95"/>
        <n v="711"/>
        <n v="517"/>
        <n v="821"/>
        <n v="927"/>
        <n v="246"/>
        <n v="131"/>
        <n v="87"/>
        <n v="184"/>
        <n v="850"/>
        <n v="311"/>
        <n v="699"/>
        <n v="63"/>
        <n v="438"/>
        <n v="570"/>
        <n v="787"/>
        <n v="705"/>
        <n v="455"/>
        <n v="557"/>
        <n v="48"/>
        <n v="25"/>
        <n v="831"/>
        <n v="713"/>
        <n v="113"/>
        <n v="91"/>
        <n v="917"/>
        <n v="158"/>
        <n v="956"/>
        <n v="704"/>
        <n v="722"/>
        <n v="531"/>
        <n v="921"/>
        <n v="313"/>
        <n v="541"/>
        <n v="234"/>
        <n v="971"/>
        <n v="77"/>
        <n v="321"/>
        <n v="265"/>
        <n v="697"/>
        <n v="458"/>
        <n v="340"/>
        <n v="270"/>
        <n v="988"/>
        <n v="120"/>
        <n v="966"/>
        <n v="297"/>
        <n v="260"/>
        <n v="646"/>
        <n v="250"/>
        <n v="847"/>
        <n v="96"/>
        <n v="634"/>
        <n v="511"/>
        <n v="955"/>
        <n v="698"/>
        <n v="732"/>
        <n v="460"/>
        <n v="380"/>
        <n v="905"/>
        <n v="712"/>
        <n v="151"/>
        <n v="647"/>
        <n v="98"/>
        <n v="720"/>
        <n v="121"/>
        <n v="510"/>
        <n v="219"/>
        <n v="896"/>
        <n v="625"/>
        <n v="441"/>
        <n v="726"/>
        <n v="926"/>
        <n v="735"/>
        <n v="46"/>
        <n v="716"/>
        <n v="215"/>
      </sharedItems>
    </cacheField>
    <cacheField name="Order_Date" numFmtId="14">
      <sharedItems containsSemiMixedTypes="0" containsNonDate="0" containsDate="1" containsString="0" minDate="2025-01-01T00:00:00" maxDate="2026-01-01T00:00:00" count="330">
        <d v="2025-01-01T00:00:00"/>
        <d v="2025-01-02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8T00:00:00"/>
        <d v="2025-01-29T00:00:00"/>
        <d v="2025-01-30T00:00:00"/>
        <d v="2025-01-31T00:00:00"/>
        <d v="2025-02-02T00:00:00"/>
        <d v="2025-02-03T00:00:00"/>
        <d v="2025-02-04T00:00:00"/>
        <d v="2025-02-05T00:00:00"/>
        <d v="2025-02-07T00:00:00"/>
        <d v="2025-02-08T00:00:00"/>
        <d v="2025-02-09T00:00:00"/>
        <d v="2025-02-10T00:00:00"/>
        <d v="2025-02-11T00:00:00"/>
        <d v="2025-02-12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2T00:00:00"/>
        <d v="2025-03-03T00:00:00"/>
        <d v="2025-03-04T00:00:00"/>
        <d v="2025-03-05T00:00:00"/>
        <d v="2025-03-06T00:00:00"/>
        <d v="2025-03-07T00:00:00"/>
        <d v="2025-03-08T00:00:00"/>
        <d v="2025-03-09T00:00:00"/>
        <d v="2025-03-10T00:00:00"/>
        <d v="2025-03-11T00:00:00"/>
        <d v="2025-03-12T00:00:00"/>
        <d v="2025-03-13T00:00:00"/>
        <d v="2025-03-14T00:00:00"/>
        <d v="2025-03-16T00:00:00"/>
        <d v="2025-03-17T00:00:00"/>
        <d v="2025-03-18T00:00:00"/>
        <d v="2025-03-19T00:00:00"/>
        <d v="2025-03-20T00:00:00"/>
        <d v="2025-03-21T00:00:00"/>
        <d v="2025-03-22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7T00:00:00"/>
        <d v="2025-04-28T00:00:00"/>
        <d v="2025-04-29T00:00:00"/>
        <d v="2025-04-30T00:00:00"/>
        <d v="2025-05-01T00:00:00"/>
        <d v="2025-05-02T00:00:00"/>
        <d v="2025-05-03T00:00:00"/>
        <d v="2025-05-04T00:00:00"/>
        <d v="2025-05-05T00:00:00"/>
        <d v="2025-05-06T00:00:00"/>
        <d v="2025-05-07T00:00:00"/>
        <d v="2025-05-09T00:00:00"/>
        <d v="2025-05-10T00:00:00"/>
        <d v="2025-05-11T00:00:00"/>
        <d v="2025-05-12T00:00:00"/>
        <d v="2025-05-13T00:00:00"/>
        <d v="2025-05-14T00:00:00"/>
        <d v="2025-05-15T00:00:00"/>
        <d v="2025-05-17T00:00:00"/>
        <d v="2025-05-18T00:00:00"/>
        <d v="2025-05-19T00:00:00"/>
        <d v="2025-05-21T00:00:00"/>
        <d v="2025-05-22T00:00:00"/>
        <d v="2025-05-23T00:00:00"/>
        <d v="2025-05-25T00:00:00"/>
        <d v="2025-05-26T00:00:00"/>
        <d v="2025-05-27T00:00:00"/>
        <d v="2025-05-28T00:00:00"/>
        <d v="2025-05-29T00:00:00"/>
        <d v="2025-05-30T00:00:00"/>
        <d v="2025-05-31T00:00:00"/>
        <d v="2025-06-01T00:00:00"/>
        <d v="2025-06-02T00:00:00"/>
        <d v="2025-06-03T00:00:00"/>
        <d v="2025-06-04T00:00:00"/>
        <d v="2025-06-05T00:00:00"/>
        <d v="2025-06-07T00:00:00"/>
        <d v="2025-06-08T00:00:00"/>
        <d v="2025-06-09T00:00:00"/>
        <d v="2025-06-10T00:00:00"/>
        <d v="2025-06-11T00:00:00"/>
        <d v="2025-06-12T00:00:00"/>
        <d v="2025-06-15T00:00:00"/>
        <d v="2025-06-16T00:00:00"/>
        <d v="2025-06-17T00:00:00"/>
        <d v="2025-06-18T00:00:00"/>
        <d v="2025-06-19T00:00:00"/>
        <d v="2025-06-20T00:00:00"/>
        <d v="2025-06-21T00:00:00"/>
        <d v="2025-06-23T00:00:00"/>
        <d v="2025-06-24T00:00:00"/>
        <d v="2025-06-25T00:00:00"/>
        <d v="2025-06-26T00:00:00"/>
        <d v="2025-06-27T00:00:00"/>
        <d v="2025-06-28T00:00:00"/>
        <d v="2025-06-29T00:00:00"/>
        <d v="2025-07-01T00:00:00"/>
        <d v="2025-07-02T00:00:00"/>
        <d v="2025-07-05T00:00:00"/>
        <d v="2025-07-06T00:00:00"/>
        <d v="2025-07-07T00:00:00"/>
        <d v="2025-07-08T00:00:00"/>
        <d v="2025-07-09T00:00:00"/>
        <d v="2025-07-10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1T00:00:00"/>
        <d v="2025-08-22T00:00:00"/>
        <d v="2025-08-23T00:00:00"/>
        <d v="2025-08-24T00:00:00"/>
        <d v="2025-08-25T00:00:00"/>
        <d v="2025-08-27T00:00:00"/>
        <d v="2025-08-28T00:00:00"/>
        <d v="2025-08-29T00:00:00"/>
        <d v="2025-08-30T00:00:00"/>
        <d v="2025-08-31T00:00:00"/>
        <d v="2025-09-01T00:00:00"/>
        <d v="2025-09-02T00:00:00"/>
        <d v="2025-09-03T00:00:00"/>
        <d v="2025-09-04T00:00:00"/>
        <d v="2025-09-05T00:00:00"/>
        <d v="2025-09-06T00:00:00"/>
        <d v="2025-09-07T00:00:00"/>
        <d v="2025-09-08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7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8T00:00:00"/>
        <d v="2025-10-19T00:00:00"/>
        <d v="2025-10-20T00:00:00"/>
        <d v="2025-10-21T00:00:00"/>
        <d v="2025-10-22T00:00:00"/>
        <d v="2025-10-23T00:00:00"/>
        <d v="2025-10-24T00:00:00"/>
        <d v="2025-10-25T00:00:00"/>
        <d v="2025-10-27T00:00:00"/>
        <d v="2025-10-28T00:00:00"/>
        <d v="2025-10-29T00:00:00"/>
        <d v="2025-10-30T00:00:00"/>
        <d v="2025-10-31T00:00:00"/>
        <d v="2025-11-01T00:00:00"/>
        <d v="2025-11-02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9T00:00:00"/>
        <d v="2025-11-20T00:00:00"/>
        <d v="2025-11-21T00:00:00"/>
        <d v="2025-11-22T00:00:00"/>
        <d v="2025-11-23T00:00:00"/>
        <d v="2025-11-27T00:00:00"/>
        <d v="2025-11-28T00:00:00"/>
        <d v="2025-11-29T00:00:00"/>
        <d v="2025-11-30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22"/>
    </cacheField>
    <cacheField name="Customer_ID" numFmtId="0">
      <sharedItems/>
    </cacheField>
    <cacheField name="Customer_Name" numFmtId="0">
      <sharedItems/>
    </cacheField>
    <cacheField name="Region" numFmtId="0">
      <sharedItems count="5">
        <s v="East"/>
        <s v="South"/>
        <s v="West"/>
        <s v="Central"/>
        <s v="North"/>
      </sharedItems>
    </cacheField>
    <cacheField name="City" numFmtId="0">
      <sharedItems/>
    </cacheField>
    <cacheField name="Product" numFmtId="0">
      <sharedItems count="12">
        <s v="Printer"/>
        <s v="Desk"/>
        <s v="Laptop"/>
        <s v="Water Bottle"/>
        <s v="Office Chair"/>
        <s v="Notebook"/>
        <s v="Backpack"/>
        <s v="Keyboard"/>
        <s v="Monitor"/>
        <s v="Headphones"/>
        <s v="Smartphone"/>
        <s v="Mouse"/>
      </sharedItems>
    </cacheField>
    <cacheField name="Category" numFmtId="0">
      <sharedItems count="5">
        <s v="Electronics"/>
        <s v="Furniture"/>
        <s v="Lifestyle"/>
        <s v="Stationery"/>
        <s v="Accessories"/>
      </sharedItems>
    </cacheField>
    <cacheField name="Quantity" numFmtId="0">
      <sharedItems containsSemiMixedTypes="0" containsString="0" containsNumber="1" containsInteger="1" minValue="1" maxValue="4"/>
    </cacheField>
    <cacheField name="Unit_Price" numFmtId="0">
      <sharedItems containsSemiMixedTypes="0" containsString="0" containsNumber="1" minValue="80.430000000000007" maxValue="74628.95"/>
    </cacheField>
    <cacheField name="Discount" numFmtId="0">
      <sharedItems containsSemiMixedTypes="0" containsString="0" containsNumber="1" minValue="0" maxValue="0.15"/>
    </cacheField>
    <cacheField name="Sales" numFmtId="0">
      <sharedItems containsSemiMixedTypes="0" containsString="0" containsNumber="1" minValue="68.37" maxValue="294246.68" count="1000">
        <n v="14609.9"/>
        <n v="16183.24"/>
        <n v="144528.42000000001"/>
        <n v="1100.32"/>
        <n v="2409.0300000000002"/>
        <n v="10167.32"/>
        <n v="199.53"/>
        <n v="2527.2399999999998"/>
        <n v="2008.55"/>
        <n v="1746.52"/>
        <n v="2693.12"/>
        <n v="698.5"/>
        <n v="262.63"/>
        <n v="34254.660000000003"/>
        <n v="23101.1"/>
        <n v="945.72"/>
        <n v="3831.51"/>
        <n v="30714.66"/>
        <n v="12082.79"/>
        <n v="56040.28"/>
        <n v="6605.96"/>
        <n v="6807.82"/>
        <n v="329.71"/>
        <n v="257312.92"/>
        <n v="5910.95"/>
        <n v="18579.66"/>
        <n v="21103"/>
        <n v="25445.55"/>
        <n v="1014.08"/>
        <n v="1868.46"/>
        <n v="7718.25"/>
        <n v="10001.120000000001"/>
        <n v="3942.98"/>
        <n v="15733.49"/>
        <n v="120257.25"/>
        <n v="10078.56"/>
        <n v="17459.439999999999"/>
        <n v="1135.02"/>
        <n v="25929.72"/>
        <n v="401.08"/>
        <n v="4373.79"/>
        <n v="7293.56"/>
        <n v="25374.17"/>
        <n v="168237.78"/>
        <n v="52528.29"/>
        <n v="15259.83"/>
        <n v="1200.8699999999999"/>
        <n v="10381.42"/>
        <n v="1771.38"/>
        <n v="3438.38"/>
        <n v="1417.97"/>
        <n v="10595.16"/>
        <n v="29096.86"/>
        <n v="155.88"/>
        <n v="8532.67"/>
        <n v="64662.5"/>
        <n v="18481.11"/>
        <n v="31384.89"/>
        <n v="5196.45"/>
        <n v="305.73"/>
        <n v="2459.7600000000002"/>
        <n v="1805.32"/>
        <n v="3580.51"/>
        <n v="5966.58"/>
        <n v="5104.59"/>
        <n v="10741.55"/>
        <n v="69011.3"/>
        <n v="2308.16"/>
        <n v="275068.59999999998"/>
        <n v="1559.38"/>
        <n v="1073.46"/>
        <n v="71543.48"/>
        <n v="687.8"/>
        <n v="15859.91"/>
        <n v="171168.9"/>
        <n v="129582.99"/>
        <n v="4589.34"/>
        <n v="36013.160000000003"/>
        <n v="26078.38"/>
        <n v="22396.92"/>
        <n v="813.68"/>
        <n v="117378.61"/>
        <n v="7518.85"/>
        <n v="50381.31"/>
        <n v="19114.91"/>
        <n v="31759.49"/>
        <n v="32328.38"/>
        <n v="1379.5"/>
        <n v="3004.31"/>
        <n v="236"/>
        <n v="28934.79"/>
        <n v="25310.75"/>
        <n v="2717.87"/>
        <n v="109.83"/>
        <n v="140522.79999999999"/>
        <n v="208378.62"/>
        <n v="249543.04000000001"/>
        <n v="9292.2999999999993"/>
        <n v="1055.3"/>
        <n v="766.95"/>
        <n v="314.44"/>
        <n v="2006.85"/>
        <n v="56092.52"/>
        <n v="372.09"/>
        <n v="2890"/>
        <n v="697.09"/>
        <n v="37968.61"/>
        <n v="99954.99"/>
        <n v="7370.16"/>
        <n v="24710.81"/>
        <n v="747.47"/>
        <n v="21695.54"/>
        <n v="50000.23"/>
        <n v="110039.92"/>
        <n v="23670.28"/>
        <n v="60197.71"/>
        <n v="177.2"/>
        <n v="1344.3"/>
        <n v="68860.3"/>
        <n v="112304.33"/>
        <n v="16140.75"/>
        <n v="46589.06"/>
        <n v="296.83999999999997"/>
        <n v="4277.4399999999996"/>
        <n v="48478.55"/>
        <n v="13230.68"/>
        <n v="988.51"/>
        <n v="64401.48"/>
        <n v="38090.720000000001"/>
        <n v="2312.25"/>
        <n v="38211.14"/>
        <n v="197738.2"/>
        <n v="81576.009999999995"/>
        <n v="14339.14"/>
        <n v="21931.33"/>
        <n v="21217.95"/>
        <n v="43710.8"/>
        <n v="9133.77"/>
        <n v="6759.59"/>
        <n v="9243.42"/>
        <n v="319.74"/>
        <n v="19904.45"/>
        <n v="872.15"/>
        <n v="15001.81"/>
        <n v="992.45"/>
        <n v="4853.7"/>
        <n v="1455.49"/>
        <n v="3348.46"/>
        <n v="671.08"/>
        <n v="21968.69"/>
        <n v="2829.55"/>
        <n v="6073.56"/>
        <n v="55554"/>
        <n v="1731.07"/>
        <n v="28774.46"/>
        <n v="15972.77"/>
        <n v="1466.31"/>
        <n v="702.32"/>
        <n v="1427.83"/>
        <n v="1324.38"/>
        <n v="10568.27"/>
        <n v="263.83999999999997"/>
        <n v="2454.87"/>
        <n v="16373.06"/>
        <n v="8851.36"/>
        <n v="1315.74"/>
        <n v="376.19"/>
        <n v="3460.66"/>
        <n v="6876.68"/>
        <n v="12976.85"/>
        <n v="9605.82"/>
        <n v="133756.15"/>
        <n v="5400.35"/>
        <n v="28529.43"/>
        <n v="55426.61"/>
        <n v="12798.49"/>
        <n v="8437.93"/>
        <n v="11534.73"/>
        <n v="21428.82"/>
        <n v="97278.1"/>
        <n v="3359.7"/>
        <n v="5063.18"/>
        <n v="12229.03"/>
        <n v="325.24"/>
        <n v="75107.460000000006"/>
        <n v="233868.69"/>
        <n v="935.61"/>
        <n v="13525.47"/>
        <n v="2037.6"/>
        <n v="21950.55"/>
        <n v="199.89"/>
        <n v="46599.62"/>
        <n v="1487.44"/>
        <n v="122843.68"/>
        <n v="1448.91"/>
        <n v="20191.36"/>
        <n v="3411.66"/>
        <n v="4144.33"/>
        <n v="10151.26"/>
        <n v="717.59"/>
        <n v="117178.95"/>
        <n v="2597.98"/>
        <n v="38932.26"/>
        <n v="28881.41"/>
        <n v="39312.58"/>
        <n v="87.87"/>
        <n v="11533.94"/>
        <n v="30055.25"/>
        <n v="3844.1"/>
        <n v="48824.52"/>
        <n v="959.17"/>
        <n v="1372.82"/>
        <n v="1019.6"/>
        <n v="313.7"/>
        <n v="1052.3699999999999"/>
        <n v="29708.76"/>
        <n v="14612.68"/>
        <n v="1152.23"/>
        <n v="6048.07"/>
        <n v="14399.93"/>
        <n v="3120.23"/>
        <n v="25483.3"/>
        <n v="30943.11"/>
        <n v="64734.21"/>
        <n v="4151.33"/>
        <n v="6069"/>
        <n v="37863.760000000002"/>
        <n v="22536.07"/>
        <n v="6403.38"/>
        <n v="43424.1"/>
        <n v="64490.89"/>
        <n v="36637.31"/>
        <n v="259.63"/>
        <n v="31080.35"/>
        <n v="26261.39"/>
        <n v="16713.46"/>
        <n v="625.13"/>
        <n v="1896.16"/>
        <n v="43590.26"/>
        <n v="39589.06"/>
        <n v="5654.88"/>
        <n v="31249.15"/>
        <n v="5990.46"/>
        <n v="441.44"/>
        <n v="4534.82"/>
        <n v="5585.35"/>
        <n v="1331.01"/>
        <n v="14389.2"/>
        <n v="5186.04"/>
        <n v="2634.08"/>
        <n v="3104.41"/>
        <n v="113183.21"/>
        <n v="55602.85"/>
        <n v="13310.86"/>
        <n v="206649.1"/>
        <n v="47163.53"/>
        <n v="16808.68"/>
        <n v="833.6"/>
        <n v="55221.98"/>
        <n v="13224.28"/>
        <n v="16565.48"/>
        <n v="27841.16"/>
        <n v="177448.17"/>
        <n v="19601.740000000002"/>
        <n v="39491.949999999997"/>
        <n v="1668.69"/>
        <n v="14160.76"/>
        <n v="1287.78"/>
        <n v="14878.39"/>
        <n v="22670.52"/>
        <n v="23792.6"/>
        <n v="9217.67"/>
        <n v="8713.11"/>
        <n v="1254.5"/>
        <n v="14497.8"/>
        <n v="129390.14"/>
        <n v="12301.16"/>
        <n v="7594.56"/>
        <n v="285.52999999999997"/>
        <n v="1238.0899999999999"/>
        <n v="1807.51"/>
        <n v="33340.26"/>
        <n v="56775.75"/>
        <n v="4698.25"/>
        <n v="16232.62"/>
        <n v="54613"/>
        <n v="5589.88"/>
        <n v="53138.080000000002"/>
        <n v="4953.3599999999997"/>
        <n v="33710.06"/>
        <n v="8756.2800000000007"/>
        <n v="915.34"/>
        <n v="89642.75"/>
        <n v="3029.77"/>
        <n v="32514.3"/>
        <n v="334.9"/>
        <n v="279.02999999999997"/>
        <n v="20123.95"/>
        <n v="1155.32"/>
        <n v="19552.03"/>
        <n v="41181.32"/>
        <n v="183.99"/>
        <n v="105322.17"/>
        <n v="1669.7"/>
        <n v="11689.79"/>
        <n v="107.5"/>
        <n v="5383.55"/>
        <n v="6986.91"/>
        <n v="18987.39"/>
        <n v="183782.71"/>
        <n v="70409.55"/>
        <n v="42071.33"/>
        <n v="367.79"/>
        <n v="149.93"/>
        <n v="343.04"/>
        <n v="1301.4000000000001"/>
        <n v="16544.68"/>
        <n v="429.57"/>
        <n v="1792.85"/>
        <n v="15874.59"/>
        <n v="714.54"/>
        <n v="20002.14"/>
        <n v="1057.71"/>
        <n v="22042.5"/>
        <n v="20950.830000000002"/>
        <n v="1384.4"/>
        <n v="30769.56"/>
        <n v="54315.74"/>
        <n v="7022.01"/>
        <n v="12321.48"/>
        <n v="11375.96"/>
        <n v="25594.43"/>
        <n v="21076.55"/>
        <n v="8165.16"/>
        <n v="43894.32"/>
        <n v="6562.07"/>
        <n v="8622.4"/>
        <n v="1267.57"/>
        <n v="2324.8000000000002"/>
        <n v="9086.23"/>
        <n v="122410.8"/>
        <n v="15072.28"/>
        <n v="50084.24"/>
        <n v="61663.89"/>
        <n v="108951.07"/>
        <n v="30170.48"/>
        <n v="17801.5"/>
        <n v="139920.42000000001"/>
        <n v="11596.07"/>
        <n v="528.80999999999995"/>
        <n v="1851.87"/>
        <n v="35988.69"/>
        <n v="1398.58"/>
        <n v="114772.1"/>
        <n v="101307.22"/>
        <n v="55843.37"/>
        <n v="901.53"/>
        <n v="68.37"/>
        <n v="1605.9"/>
        <n v="1871.32"/>
        <n v="260.45999999999998"/>
        <n v="10035.81"/>
        <n v="3277.12"/>
        <n v="1162.9100000000001"/>
        <n v="1365.61"/>
        <n v="39216.21"/>
        <n v="64859.08"/>
        <n v="21459.82"/>
        <n v="4768.2"/>
        <n v="38501.9"/>
        <n v="18128"/>
        <n v="6240.63"/>
        <n v="6945.98"/>
        <n v="937.06"/>
        <n v="21906.26"/>
        <n v="16388.48"/>
        <n v="21467.84"/>
        <n v="8535.39"/>
        <n v="1558.85"/>
        <n v="8848.9699999999993"/>
        <n v="29393.81"/>
        <n v="2755.27"/>
        <n v="4556.74"/>
        <n v="2399.12"/>
        <n v="52509.62"/>
        <n v="30105.77"/>
        <n v="22373.9"/>
        <n v="10801.31"/>
        <n v="1971.87"/>
        <n v="19175.22"/>
        <n v="2799.94"/>
        <n v="6448.36"/>
        <n v="739.12"/>
        <n v="26716.41"/>
        <n v="790.92"/>
        <n v="2652.5"/>
        <n v="69737.47"/>
        <n v="9711.2199999999993"/>
        <n v="65277.29"/>
        <n v="6359.02"/>
        <n v="4283.8599999999997"/>
        <n v="15916.96"/>
        <n v="5017.5"/>
        <n v="5249.46"/>
        <n v="19342.849999999999"/>
        <n v="45903.91"/>
        <n v="123361.91"/>
        <n v="2817.9"/>
        <n v="5839.89"/>
        <n v="22615.85"/>
        <n v="5487.86"/>
        <n v="79.05"/>
        <n v="146262.75"/>
        <n v="1180.75"/>
        <n v="1330.65"/>
        <n v="9874.7900000000009"/>
        <n v="6332.93"/>
        <n v="50809.21"/>
        <n v="43786.78"/>
        <n v="7400.77"/>
        <n v="295.91000000000003"/>
        <n v="98147.91"/>
        <n v="148125.75"/>
        <n v="13465.9"/>
        <n v="109351.06"/>
        <n v="34732.839999999997"/>
        <n v="1133.8499999999999"/>
        <n v="6528.44"/>
        <n v="15619.28"/>
        <n v="580.54999999999995"/>
        <n v="106.98"/>
        <n v="1447.2"/>
        <n v="17698.34"/>
        <n v="660.9"/>
        <n v="7565.4"/>
        <n v="1204.5999999999999"/>
        <n v="74804.88"/>
        <n v="92129.86"/>
        <n v="11062.01"/>
        <n v="1670.13"/>
        <n v="19854.18"/>
        <n v="2205.8000000000002"/>
        <n v="7986.98"/>
        <n v="4839.51"/>
        <n v="14352.43"/>
        <n v="3791.52"/>
        <n v="307.77"/>
        <n v="13406.69"/>
        <n v="8315.77"/>
        <n v="208.39"/>
        <n v="3927.62"/>
        <n v="11141.83"/>
        <n v="197005.56"/>
        <n v="1185.46"/>
        <n v="2614.69"/>
        <n v="27296.6"/>
        <n v="46557.86"/>
        <n v="582.67999999999995"/>
        <n v="2857.54"/>
        <n v="10564.61"/>
        <n v="2901.72"/>
        <n v="45594.58"/>
        <n v="305.22000000000003"/>
        <n v="67206.81"/>
        <n v="677.57"/>
        <n v="16306.26"/>
        <n v="9484.9500000000007"/>
        <n v="296.87"/>
        <n v="12360.84"/>
        <n v="1378.85"/>
        <n v="22040.32"/>
        <n v="20030.71"/>
        <n v="214.4"/>
        <n v="13121.51"/>
        <n v="3164.53"/>
        <n v="382.77"/>
        <n v="52190.7"/>
        <n v="47952.72"/>
        <n v="1032.93"/>
        <n v="2067.2800000000002"/>
        <n v="5901.27"/>
        <n v="2556.62"/>
        <n v="600.79999999999995"/>
        <n v="5354.45"/>
        <n v="2210.21"/>
        <n v="23015.73"/>
        <n v="12956.58"/>
        <n v="23240.39"/>
        <n v="5385.59"/>
        <n v="45110.31"/>
        <n v="4758.79"/>
        <n v="1975.89"/>
        <n v="4578.59"/>
        <n v="9267.14"/>
        <n v="85912.320000000007"/>
        <n v="29329.43"/>
        <n v="2915.18"/>
        <n v="9213.91"/>
        <n v="1403.69"/>
        <n v="11822.12"/>
        <n v="269.06"/>
        <n v="18065.59"/>
        <n v="27606.01"/>
        <n v="13206.46"/>
        <n v="6002.11"/>
        <n v="1212.1199999999999"/>
        <n v="742.39"/>
        <n v="15240.89"/>
        <n v="30567.89"/>
        <n v="6149.19"/>
        <n v="2081.16"/>
        <n v="20250.79"/>
        <n v="6423.86"/>
        <n v="14646.25"/>
        <n v="66915.009999999995"/>
        <n v="126869.21"/>
        <n v="49042.45"/>
        <n v="168611.44"/>
        <n v="1744.84"/>
        <n v="31079.3"/>
        <n v="181.82"/>
        <n v="2597.23"/>
        <n v="22636.880000000001"/>
        <n v="5376.35"/>
        <n v="3248.14"/>
        <n v="98.96"/>
        <n v="2803.04"/>
        <n v="906.12"/>
        <n v="192290.58"/>
        <n v="67525.850000000006"/>
        <n v="24631.98"/>
        <n v="13293.84"/>
        <n v="46404.99"/>
        <n v="560.27"/>
        <n v="16574.61"/>
        <n v="14583.16"/>
        <n v="12663.48"/>
        <n v="1278.06"/>
        <n v="30302.04"/>
        <n v="2107.14"/>
        <n v="73402.16"/>
        <n v="333.84"/>
        <n v="13185.77"/>
        <n v="12439.87"/>
        <n v="23470.9"/>
        <n v="1613.53"/>
        <n v="3561.44"/>
        <n v="5089.26"/>
        <n v="140.44"/>
        <n v="38132.660000000003"/>
        <n v="5778.31"/>
        <n v="83112.45"/>
        <n v="31879.88"/>
        <n v="2320.66"/>
        <n v="44173.69"/>
        <n v="62213.120000000003"/>
        <n v="1159.57"/>
        <n v="10159.200000000001"/>
        <n v="6056.67"/>
        <n v="23060.26"/>
        <n v="27382.53"/>
        <n v="1834.67"/>
        <n v="60392.68"/>
        <n v="44761.71"/>
        <n v="702.37"/>
        <n v="9535.61"/>
        <n v="10093.17"/>
        <n v="342.65"/>
        <n v="15882.19"/>
        <n v="8832.85"/>
        <n v="14718.11"/>
        <n v="5841.68"/>
        <n v="57943.07"/>
        <n v="149.58000000000001"/>
        <n v="13338.62"/>
        <n v="1853.48"/>
        <n v="26789.55"/>
        <n v="238102.45"/>
        <n v="56135.4"/>
        <n v="5264.25"/>
        <n v="613.65"/>
        <n v="60783.9"/>
        <n v="11206.48"/>
        <n v="1839.95"/>
        <n v="49851.79"/>
        <n v="5578.38"/>
        <n v="15895.74"/>
        <n v="6305.23"/>
        <n v="316.39999999999998"/>
        <n v="10832.82"/>
        <n v="7841.52"/>
        <n v="3839.58"/>
        <n v="133732.94"/>
        <n v="3934.72"/>
        <n v="1433.22"/>
        <n v="87883.24"/>
        <n v="13903.1"/>
        <n v="14691.3"/>
        <n v="33513.760000000002"/>
        <n v="1099.4000000000001"/>
        <n v="44497.31"/>
        <n v="9575.1"/>
        <n v="29535.1"/>
        <n v="18778.48"/>
        <n v="19134.36"/>
        <n v="3028.96"/>
        <n v="4090.48"/>
        <n v="12493.42"/>
        <n v="2692.18"/>
        <n v="1073.55"/>
        <n v="4984.13"/>
        <n v="967.04"/>
        <n v="2864.99"/>
        <n v="24176.74"/>
        <n v="78967.740000000005"/>
        <n v="3005.77"/>
        <n v="14166.77"/>
        <n v="3542.14"/>
        <n v="338.48"/>
        <n v="41261.879999999997"/>
        <n v="2898.06"/>
        <n v="259.47000000000003"/>
        <n v="29683.45"/>
        <n v="19203.09"/>
        <n v="4753.5200000000004"/>
        <n v="1222.8"/>
        <n v="2277.52"/>
        <n v="23927.8"/>
        <n v="5796.1"/>
        <n v="83166.92"/>
        <n v="6867.39"/>
        <n v="7883.24"/>
        <n v="113469.52"/>
        <n v="61426.89"/>
        <n v="1569.22"/>
        <n v="2999.7"/>
        <n v="99727.35"/>
        <n v="2795.27"/>
        <n v="195200.7"/>
        <n v="615.66"/>
        <n v="35615.339999999997"/>
        <n v="24772.95"/>
        <n v="125215.79"/>
        <n v="126421.4"/>
        <n v="28917.27"/>
        <n v="328.63"/>
        <n v="2929.03"/>
        <n v="232.15"/>
        <n v="3101.72"/>
        <n v="9902.5499999999993"/>
        <n v="97036.17"/>
        <n v="716.4"/>
        <n v="22958.93"/>
        <n v="1246.72"/>
        <n v="916.01"/>
        <n v="71281.2"/>
        <n v="7728.11"/>
        <n v="180783.35999999999"/>
        <n v="119443.94"/>
        <n v="37261.879999999997"/>
        <n v="18524.77"/>
        <n v="132501.85"/>
        <n v="87784.03"/>
        <n v="12183.5"/>
        <n v="262.77999999999997"/>
        <n v="2710.31"/>
        <n v="21684.03"/>
        <n v="9177.33"/>
        <n v="2380.9"/>
        <n v="113544.02"/>
        <n v="423.48"/>
        <n v="16698.689999999999"/>
        <n v="29470.58"/>
        <n v="23667.61"/>
        <n v="1476.9"/>
        <n v="3392.78"/>
        <n v="74209.100000000006"/>
        <n v="33859.589999999997"/>
        <n v="115144.96000000001"/>
        <n v="1588.7"/>
        <n v="102136.71"/>
        <n v="49260.24"/>
        <n v="1719.37"/>
        <n v="9292.51"/>
        <n v="1158.81"/>
        <n v="23216.46"/>
        <n v="34844.230000000003"/>
        <n v="315.62"/>
        <n v="364.96"/>
        <n v="1579.66"/>
        <n v="97253.4"/>
        <n v="1013.3"/>
        <n v="53859.55"/>
        <n v="5941.88"/>
        <n v="24509"/>
        <n v="6017.54"/>
        <n v="12543.61"/>
        <n v="2464.27"/>
        <n v="6605.04"/>
        <n v="2014.37"/>
        <n v="96017.34"/>
        <n v="1049.8499999999999"/>
        <n v="2032.11"/>
        <n v="10153.540000000001"/>
        <n v="11055.3"/>
        <n v="1045.8800000000001"/>
        <n v="4721.04"/>
        <n v="2948.04"/>
        <n v="3320.03"/>
        <n v="17858.73"/>
        <n v="123182.64"/>
        <n v="29477.38"/>
        <n v="879.16"/>
        <n v="61702.51"/>
        <n v="19689.53"/>
        <n v="8973.7000000000007"/>
        <n v="39954.57"/>
        <n v="8499.0300000000007"/>
        <n v="1778"/>
        <n v="381.15"/>
        <n v="139879.73000000001"/>
        <n v="3049.55"/>
        <n v="310.54000000000002"/>
        <n v="8426.7800000000007"/>
        <n v="24290.080000000002"/>
        <n v="43240.02"/>
        <n v="82.85"/>
        <n v="10681.27"/>
        <n v="61817.94"/>
        <n v="45746.31"/>
        <n v="122123.5"/>
        <n v="944.91"/>
        <n v="777.56"/>
        <n v="181.09"/>
        <n v="4216.8599999999997"/>
        <n v="816.06"/>
        <n v="4291.34"/>
        <n v="41300.480000000003"/>
        <n v="9951.59"/>
        <n v="24206.81"/>
        <n v="6853.72"/>
        <n v="44359.43"/>
        <n v="14325.93"/>
        <n v="10044.01"/>
        <n v="3442.96"/>
        <n v="41128.57"/>
        <n v="205.04"/>
        <n v="2356.17"/>
        <n v="6047.85"/>
        <n v="69343.64"/>
        <n v="184.8"/>
        <n v="733.15"/>
        <n v="2695.34"/>
        <n v="1279.28"/>
        <n v="367.2"/>
        <n v="12920.07"/>
        <n v="1249.69"/>
        <n v="5743.6"/>
        <n v="2061.56"/>
        <n v="989.69"/>
        <n v="110275.12"/>
        <n v="258429.6"/>
        <n v="14256.15"/>
        <n v="66596.759999999995"/>
        <n v="9195.0300000000007"/>
        <n v="8467.3799999999992"/>
        <n v="116092.57"/>
        <n v="27353.66"/>
        <n v="2857.91"/>
        <n v="55088.59"/>
        <n v="53147.86"/>
        <n v="8966.02"/>
        <n v="27492.48"/>
        <n v="21258.21"/>
        <n v="8073.93"/>
        <n v="6826.04"/>
        <n v="895.42"/>
        <n v="43676.82"/>
        <n v="3089.68"/>
        <n v="8262.3700000000008"/>
        <n v="14516.06"/>
        <n v="22984.91"/>
        <n v="223.56"/>
        <n v="135879.41"/>
        <n v="1413.86"/>
        <n v="255.52"/>
        <n v="75193.56"/>
        <n v="86408.01"/>
        <n v="1511"/>
        <n v="113098.68"/>
        <n v="14228.61"/>
        <n v="10695.8"/>
        <n v="12358"/>
        <n v="15656.56"/>
        <n v="841.55"/>
        <n v="41946.52"/>
        <n v="63918.13"/>
        <n v="66457.039999999994"/>
        <n v="5927.78"/>
        <n v="6607.42"/>
        <n v="2435.62"/>
        <n v="12892.21"/>
        <n v="4625.01"/>
        <n v="4461.3599999999997"/>
        <n v="2662.03"/>
        <n v="1404.34"/>
        <n v="8539.7099999999991"/>
        <n v="917.32"/>
        <n v="189571.79"/>
        <n v="3779.36"/>
        <n v="19877.25"/>
        <n v="695.09"/>
        <n v="8963.99"/>
        <n v="6027.95"/>
        <n v="3126.25"/>
        <n v="9256.94"/>
        <n v="2105.62"/>
        <n v="18493.759999999998"/>
        <n v="9990.83"/>
        <n v="1235.31"/>
        <n v="2114.02"/>
        <n v="6957.69"/>
        <n v="26706.92"/>
        <n v="37205.96"/>
        <n v="5620"/>
        <n v="3321.12"/>
        <n v="1426.9"/>
        <n v="1425.43"/>
        <n v="13798.57"/>
        <n v="181.43"/>
        <n v="18694.04"/>
        <n v="60727.9"/>
        <n v="3759.18"/>
        <n v="5891.76"/>
        <n v="36208.129999999997"/>
        <n v="11651.1"/>
        <n v="26054.16"/>
        <n v="1827.23"/>
        <n v="41836.589999999997"/>
        <n v="2363.56"/>
        <n v="2946.01"/>
        <n v="24224.95"/>
        <n v="12396.92"/>
        <n v="8089.65"/>
        <n v="58163.94"/>
        <n v="5915.09"/>
        <n v="110994.09"/>
        <n v="23909.47"/>
        <n v="11030.23"/>
        <n v="64373.86"/>
        <n v="4002.38"/>
        <n v="4229.32"/>
        <n v="98.51"/>
        <n v="411.55"/>
        <n v="2947.27"/>
        <n v="90147.02"/>
        <n v="252.1"/>
        <n v="57570.34"/>
        <n v="1785.62"/>
        <n v="39814.400000000001"/>
        <n v="2402.62"/>
        <n v="26963.15"/>
        <n v="294246.68"/>
        <n v="4363.9799999999996"/>
        <n v="5709.57"/>
        <n v="33635.300000000003"/>
        <n v="26957.1"/>
        <n v="18507.54"/>
        <n v="5781.19"/>
        <n v="27857.61"/>
        <n v="4017.07"/>
        <n v="2575.75"/>
        <n v="1961.84"/>
        <n v="22486.17"/>
        <n v="1840.72"/>
        <n v="50425.34"/>
        <n v="40234.980000000003"/>
        <n v="41833.120000000003"/>
        <n v="197144.82"/>
        <n v="33978.639999999999"/>
        <n v="6996.73"/>
        <n v="180559.66"/>
        <n v="319.23"/>
        <n v="8136.41"/>
        <n v="4352.1000000000004"/>
        <n v="3333.56"/>
        <n v="13383.7"/>
        <n v="26037.88"/>
        <n v="1453.4"/>
        <n v="6567.15"/>
        <n v="278683.89"/>
        <n v="1270.3499999999999"/>
        <n v="791.55"/>
        <n v="1175.44"/>
        <n v="49932.74"/>
        <n v="59454.68"/>
        <n v="156900.68"/>
        <n v="1461.15"/>
        <n v="1033"/>
        <n v="17928.18"/>
        <n v="8323.6"/>
        <n v="285.81"/>
        <n v="6415"/>
        <n v="2421.83"/>
        <n v="19070.64"/>
        <n v="2732.19"/>
        <n v="4609.9399999999996"/>
        <n v="4656.67"/>
        <n v="62127.07"/>
        <n v="8117.75"/>
        <n v="115405.51"/>
        <n v="58476.31"/>
        <n v="19222.689999999999"/>
        <n v="452.51"/>
        <n v="146577.66"/>
        <n v="38887.410000000003"/>
        <n v="1751.23"/>
        <n v="41337.56"/>
        <n v="4857.24"/>
        <n v="2105.71"/>
        <n v="37507.5"/>
        <n v="13060.85"/>
        <n v="5251.84"/>
        <n v="24658.240000000002"/>
        <n v="24143.58"/>
        <n v="7907.37"/>
        <n v="35801.65"/>
        <n v="252.81"/>
        <n v="10637.37"/>
        <n v="1501.81"/>
        <n v="2599.15"/>
        <n v="6329.36"/>
        <n v="5299.1"/>
        <n v="59804.639999999999"/>
        <n v="80569.289999999994"/>
        <n v="553.16999999999996"/>
        <n v="43269.86"/>
        <n v="2227.6"/>
        <n v="472.7"/>
        <n v="996.88"/>
        <n v="33402.42"/>
        <n v="39396.78"/>
        <n v="5653.06"/>
        <n v="6370.86"/>
        <n v="245551.55"/>
        <n v="4930.46"/>
        <n v="33997.93"/>
        <n v="119243.38"/>
        <n v="57065.68"/>
        <n v="59033.68"/>
        <n v="6398.44"/>
        <n v="848.03"/>
        <n v="736.42"/>
        <n v="150.65"/>
        <n v="4142.04"/>
        <n v="8134.01"/>
        <n v="38667.919999999998"/>
        <n v="1854.43"/>
        <n v="3469.29"/>
        <n v="183213.88"/>
        <n v="7438.08"/>
        <n v="28447.09"/>
        <n v="21297.69"/>
        <n v="1589.69"/>
        <n v="4556.76"/>
        <n v="3165.75"/>
        <n v="69269.23"/>
        <n v="22688.28"/>
        <n v="2366.88"/>
        <n v="5400.17"/>
        <n v="7910.28"/>
        <n v="53022.46"/>
        <n v="2931.84"/>
        <n v="1938.07"/>
        <n v="4591.0200000000004"/>
        <n v="10640.95"/>
        <n v="269183.75"/>
        <n v="2606.02"/>
        <n v="53075.76"/>
        <n v="2651.07"/>
        <n v="60317.45"/>
        <n v="2684.43"/>
        <n v="35734.18"/>
        <n v="161457.25"/>
        <n v="19725.759999999998"/>
        <n v="1939.52"/>
        <n v="2302.96"/>
        <n v="1238.04"/>
        <n v="8272.06"/>
        <n v="12867.87"/>
        <n v="39775.839999999997"/>
        <n v="1925.29"/>
        <n v="2553.98"/>
        <n v="28443.11"/>
        <n v="27889.52"/>
        <n v="8028.98"/>
        <n v="3258.42"/>
        <n v="39918.81"/>
        <n v="5710.21"/>
        <n v="593.27"/>
      </sharedItems>
    </cacheField>
    <cacheField name="Cost" numFmtId="0">
      <sharedItems containsSemiMixedTypes="0" containsString="0" containsNumber="1" minValue="54.73" maxValue="238303.65"/>
    </cacheField>
    <cacheField name="Profit" numFmtId="0">
      <sharedItems containsSemiMixedTypes="0" containsString="0" containsNumber="1" minValue="-1879.25" maxValue="86313.22" count="999">
        <n v="2248.19"/>
        <n v="3392.44"/>
        <n v="27628.63"/>
        <n v="333.08"/>
        <n v="314.49"/>
        <n v="2006.55"/>
        <n v="20.74"/>
        <n v="605.94000000000005"/>
        <n v="292.73"/>
        <n v="540.09"/>
        <n v="388.47"/>
        <n v="96.86"/>
        <n v="51.75"/>
        <n v="7451.18"/>
        <n v="6985.25"/>
        <n v="114.66"/>
        <n v="1158.69"/>
        <n v="4806.3100000000004"/>
        <n v="996.78"/>
        <n v="19886.86"/>
        <n v="565.78"/>
        <n v="1904.42"/>
        <n v="50.12"/>
        <n v="19009.27"/>
        <n v="2106.06"/>
        <n v="5207.33"/>
        <n v="5762.3"/>
        <n v="4649.7299999999996"/>
        <n v="241.66"/>
        <n v="579.41"/>
        <n v="283.23"/>
        <n v="1749.55"/>
        <n v="16.04"/>
        <n v="4468.3100000000004"/>
        <n v="17716.87"/>
        <n v="3627.59"/>
        <n v="3140.95"/>
        <n v="183.5"/>
        <n v="4853.51"/>
        <n v="26.09"/>
        <n v="627.13"/>
        <n v="2242.23"/>
        <n v="6488.01"/>
        <n v="15517.94"/>
        <n v="4214.29"/>
        <n v="2188.31"/>
        <n v="174.64"/>
        <n v="156.58000000000001"/>
        <n v="325.13"/>
        <n v="838.55"/>
        <n v="408.1"/>
        <n v="416.14"/>
        <n v="10073.74"/>
        <n v="12.29"/>
        <n v="2505.13"/>
        <n v="11294.23"/>
        <n v="5161.71"/>
        <n v="8709.2000000000007"/>
        <n v="1664.29"/>
        <n v="66.95"/>
        <n v="860.64"/>
        <n v="260.77"/>
        <n v="635.62"/>
        <n v="1500.21"/>
        <n v="837.76"/>
        <n v="285.68"/>
        <n v="16680.37"/>
        <n v="512.49"/>
        <n v="86313.22"/>
        <n v="577.23"/>
        <n v="142.38"/>
        <n v="17351.98"/>
        <n v="102.58"/>
        <n v="992.42"/>
        <n v="29691.119999999999"/>
        <n v="20227.21"/>
        <n v="594.84"/>
        <n v="8114.46"/>
        <n v="3598.3"/>
        <n v="5507.02"/>
        <n v="274.45"/>
        <n v="11472.41"/>
        <n v="690.5"/>
        <n v="17064.34"/>
        <n v="6243.9"/>
        <n v="7896.18"/>
        <n v="9888.81"/>
        <n v="251.76"/>
        <n v="428.86"/>
        <n v="85.41"/>
        <n v="4654.12"/>
        <n v="4253.72"/>
        <n v="867.72"/>
        <n v="13.33"/>
        <n v="-1879.25"/>
        <n v="43210.16"/>
        <n v="32825.35"/>
        <n v="1067.31"/>
        <n v="234.74"/>
        <n v="167.09"/>
        <n v="34.33"/>
        <n v="268.14999999999998"/>
        <n v="11432.66"/>
        <n v="77.540000000000006"/>
        <n v="728.41"/>
        <n v="225.53"/>
        <n v="11654.73"/>
        <n v="4993.67"/>
        <n v="18.04"/>
        <n v="1551.64"/>
        <n v="16.850000000000001"/>
        <n v="3488.54"/>
        <n v="18154.37"/>
        <n v="30323.62"/>
        <n v="1006.74"/>
        <n v="17101.14"/>
        <n v="36.1"/>
        <n v="189.18"/>
        <n v="21828.19"/>
        <n v="26297.3"/>
        <n v="3891.24"/>
        <n v="4326.8999999999996"/>
        <n v="60.08"/>
        <n v="884.16"/>
        <n v="16481.23"/>
        <n v="3713.79"/>
        <n v="35.909999999999997"/>
        <n v="9885.4699999999993"/>
        <n v="9521.7800000000007"/>
        <n v="452.72"/>
        <n v="5398.89"/>
        <n v="59236.55"/>
        <n v="26072.6"/>
        <n v="2628.38"/>
        <n v="3902.26"/>
        <n v="495.03"/>
        <n v="7232.01"/>
        <n v="2573.5500000000002"/>
        <n v="1365.29"/>
        <n v="2714.26"/>
        <n v="83.04"/>
        <n v="2278.0100000000002"/>
        <n v="148.94999999999999"/>
        <n v="4599.03"/>
        <n v="172.3"/>
        <n v="1247.02"/>
        <n v="293.29000000000002"/>
        <n v="630.12"/>
        <n v="61.48"/>
        <n v="4181.82"/>
        <n v="269.77"/>
        <n v="-164.4"/>
        <n v="7769.25"/>
        <n v="217.91"/>
        <n v="1672.82"/>
        <n v="5805.7"/>
        <n v="287.89999999999998"/>
        <n v="130.52000000000001"/>
        <n v="252.82"/>
        <n v="141.62"/>
        <n v="-345.63"/>
        <n v="66.040000000000006"/>
        <n v="510.43"/>
        <n v="2196.42"/>
        <n v="2576.31"/>
        <n v="158.01"/>
        <n v="78.19"/>
        <n v="859.96"/>
        <n v="1054.92"/>
        <n v="968.02"/>
        <n v="1481.27"/>
        <n v="11858.9"/>
        <n v="1269.54"/>
        <n v="1587.18"/>
        <n v="10797.96"/>
        <n v="4058.97"/>
        <n v="785.65"/>
        <n v="2068.37"/>
        <n v="624.67999999999995"/>
        <n v="34516.74"/>
        <n v="1133.07"/>
        <n v="1146.1199999999999"/>
        <n v="1669.87"/>
        <n v="46.58"/>
        <n v="13116.41"/>
        <n v="74873.81"/>
        <n v="207.55"/>
        <n v="3683.31"/>
        <n v="115.49"/>
        <n v="3040.07"/>
        <n v="52.01"/>
        <n v="8649.67"/>
        <n v="253.82"/>
        <n v="17782.75"/>
        <n v="212.35"/>
        <n v="2453.02"/>
        <n v="653.86"/>
        <n v="1098.54"/>
        <n v="1311.34"/>
        <n v="168.39"/>
        <n v="34640.65"/>
        <n v="472.91"/>
        <n v="2476.98"/>
        <n v="9812.2999999999993"/>
        <n v="6517.86"/>
        <n v="26"/>
        <n v="2253.1799999999998"/>
        <n v="5035.46"/>
        <n v="1111.4000000000001"/>
        <n v="342.37"/>
        <n v="206.03"/>
        <n v="426.56"/>
        <n v="244.91"/>
        <n v="-1.24"/>
        <n v="214.13"/>
        <n v="4831.5200000000004"/>
        <n v="92.43"/>
        <n v="82.32"/>
        <n v="-16.46"/>
        <n v="4670.78"/>
        <n v="827.48"/>
        <n v="3363.3"/>
        <n v="4870.3599999999997"/>
        <n v="6992.53"/>
        <n v="601.29999999999995"/>
        <n v="1788.37"/>
        <n v="5938.42"/>
        <n v="7994.45"/>
        <n v="2011.48"/>
        <n v="5094.37"/>
        <n v="18491.54"/>
        <n v="6967.9"/>
        <n v="70.510000000000005"/>
        <n v="4493.3900000000003"/>
        <n v="4464.18"/>
        <n v="4682.97"/>
        <n v="198.3"/>
        <n v="433.14"/>
        <n v="7522.95"/>
        <n v="2963.72"/>
        <n v="1686.67"/>
        <n v="968.72"/>
        <n v="1400.4"/>
        <n v="110.83"/>
        <n v="-0.43"/>
        <n v="1485.73"/>
        <n v="274.26"/>
        <n v="3947.44"/>
        <n v="536.16"/>
        <n v="676.98"/>
        <n v="128.29"/>
        <n v="29711.85"/>
        <n v="9918.2800000000007"/>
        <n v="986.51"/>
        <n v="53500.59"/>
        <n v="9929.69"/>
        <n v="2887.47"/>
        <n v="177.94"/>
        <n v="3707.06"/>
        <n v="1004.06"/>
        <n v="1763.23"/>
        <n v="2541.9"/>
        <n v="45696.14"/>
        <n v="4829.1099999999997"/>
        <n v="9580.9"/>
        <n v="566.92999999999995"/>
        <n v="2690.12"/>
        <n v="380.13"/>
        <n v="2833.28"/>
        <n v="8332.3799999999992"/>
        <n v="3549.01"/>
        <n v="1790.7"/>
        <n v="521.73"/>
        <n v="228.48"/>
        <n v="2173.14"/>
        <n v="7950.85"/>
        <n v="728.28"/>
        <n v="1606.11"/>
        <n v="38.85"/>
        <n v="364.11"/>
        <n v="211.93"/>
        <n v="6639.16"/>
        <n v="12358.98"/>
        <n v="84.36"/>
        <n v="2571.4"/>
        <n v="11604.12"/>
        <n v="1956.62"/>
        <n v="8885.9599999999991"/>
        <n v="934.84"/>
        <n v="4713.3999999999996"/>
        <n v="2166.08"/>
        <n v="245.35"/>
        <n v="-1707.31"/>
        <n v="711.53"/>
        <n v="7596.13"/>
        <n v="78.34"/>
        <n v="36.450000000000003"/>
        <n v="3207.07"/>
        <n v="315.81"/>
        <n v="4059.66"/>
        <n v="11087.69"/>
        <n v="8.84"/>
        <n v="13258.38"/>
        <n v="388.39"/>
        <n v="2425.7399999999998"/>
        <n v="4.6900000000000004"/>
        <n v="1229.0899999999999"/>
        <n v="2429.25"/>
        <n v="5933.65"/>
        <n v="12148.36"/>
        <n v="11212.06"/>
        <n v="8658.25"/>
        <n v="37.450000000000003"/>
        <n v="48.12"/>
        <n v="103.17"/>
        <n v="315.72000000000003"/>
        <n v="2788.47"/>
        <n v="91.11"/>
        <n v="277.95"/>
        <n v="4329.99"/>
        <n v="71.64"/>
        <n v="4169.71"/>
        <n v="169.68"/>
        <n v="7022.47"/>
        <n v="5600.65"/>
        <n v="449.44"/>
        <n v="10122.06"/>
        <n v="12888.95"/>
        <n v="1726.36"/>
        <n v="3641.93"/>
        <n v="3537.04"/>
        <n v="2588.5"/>
        <n v="4220.04"/>
        <n v="1154.94"/>
        <n v="4809.24"/>
        <n v="2022.53"/>
        <n v="2739.46"/>
        <n v="333.82"/>
        <n v="792.9"/>
        <n v="2468.5"/>
        <n v="8082.6"/>
        <n v="1125.71"/>
        <n v="1135.18"/>
        <n v="18595.7"/>
        <n v="33959.85"/>
        <n v="4591.58"/>
        <n v="2360.77"/>
        <n v="20739.29"/>
        <n v="2700.48"/>
        <n v="184.42"/>
        <n v="253.79"/>
        <n v="1826.01"/>
        <n v="179.85"/>
        <n v="7350.81"/>
        <n v="20901.400000000001"/>
        <n v="10231.629999999999"/>
        <n v="158.41999999999999"/>
        <n v="4.9800000000000004"/>
        <n v="567.41999999999996"/>
        <n v="296.08999999999997"/>
        <n v="1.61"/>
        <n v="270.58999999999997"/>
        <n v="656.58"/>
        <n v="179.37"/>
        <n v="320.82"/>
        <n v="6322.58"/>
        <n v="11030.24"/>
        <n v="4322.2299999999996"/>
        <n v="1521.29"/>
        <n v="6322.91"/>
        <n v="1729.88"/>
        <n v="1288.81"/>
        <n v="1678.89"/>
        <n v="133.44999999999999"/>
        <n v="6381.67"/>
        <n v="2166.1799999999998"/>
        <n v="7343.58"/>
        <n v="8.36"/>
        <n v="268.97000000000003"/>
        <n v="1749.56"/>
        <n v="4171.87"/>
        <n v="730.05"/>
        <n v="769.3"/>
        <n v="468.24"/>
        <n v="7440.43"/>
        <n v="4598.3"/>
        <n v="3982.64"/>
        <n v="2432.7399999999998"/>
        <n v="352"/>
        <n v="3648.56"/>
        <n v="574.92999999999995"/>
        <n v="1298.79"/>
        <n v="140.78"/>
        <n v="2357.89"/>
        <n v="87.79"/>
        <n v="774.2"/>
        <n v="22570.37"/>
        <n v="1884.11"/>
        <n v="22498.54"/>
        <n v="1012.97"/>
        <n v="664.36"/>
        <n v="1949.58"/>
        <n v="1812.61"/>
        <n v="1032.1500000000001"/>
        <n v="4473.78"/>
        <n v="6772.03"/>
        <n v="31567.22"/>
        <n v="855.81"/>
        <n v="5.93"/>
        <n v="3098.05"/>
        <n v="1620.76"/>
        <n v="24.32"/>
        <n v="20598.560000000001"/>
        <n v="213.33"/>
        <n v="406.13"/>
        <n v="2951.73"/>
        <n v="2053.6"/>
        <n v="8236.9699999999993"/>
        <n v="15608.88"/>
        <n v="213.04"/>
        <n v="30.15"/>
        <n v="14833.64"/>
        <n v="22193.14"/>
        <n v="3278.95"/>
        <n v="6353.94"/>
        <n v="4617.26"/>
        <n v="247.42"/>
        <n v="1155.76"/>
        <n v="5192.1000000000004"/>
        <n v="109.07"/>
        <n v="29.25"/>
        <n v="459.6"/>
        <n v="1649.71"/>
        <n v="193.61"/>
        <n v="2252.2600000000002"/>
        <n v="89.54"/>
        <n v="20631.310000000001"/>
        <n v="18319.060000000001"/>
        <n v="1702.29"/>
        <n v="217.84"/>
        <n v="1183.52"/>
        <n v="389.39"/>
        <n v="1875.76"/>
        <n v="495.08"/>
        <n v="4566.3100000000004"/>
        <n v="236.46"/>
        <n v="68.55"/>
        <n v="4386.1899999999996"/>
        <n v="1731.26"/>
        <n v="12.54"/>
        <n v="680.17"/>
        <n v="3758.96"/>
        <n v="61579.16"/>
        <n v="316.39999999999998"/>
        <n v="36.89"/>
        <n v="8093.58"/>
        <n v="10347.18"/>
        <n v="202.39"/>
        <n v="560.9"/>
        <n v="1476.99"/>
        <n v="914.53"/>
        <n v="15748.18"/>
        <n v="57.44"/>
        <n v="-224.23"/>
        <n v="67.040000000000006"/>
        <n v="1566.31"/>
        <n v="1123.47"/>
        <n v="21.81"/>
        <n v="2572.65"/>
        <n v="114.77"/>
        <n v="3384.25"/>
        <n v="3431.47"/>
        <n v="35.06"/>
        <n v="2166.5500000000002"/>
        <n v="560.82000000000005"/>
        <n v="107.79"/>
        <n v="12208.21"/>
        <n v="13716.42"/>
        <n v="328.09"/>
        <n v="390.94"/>
        <n v="768.81"/>
        <n v="31.48"/>
        <n v="54.35"/>
        <n v="1104.7"/>
        <n v="284.51"/>
        <n v="3530.53"/>
        <n v="382.43"/>
        <n v="6735.29"/>
        <n v="747.29"/>
        <n v="11027.9"/>
        <n v="190.96"/>
        <n v="667.34"/>
        <n v="978.25"/>
        <n v="35.46"/>
        <n v="12957.63"/>
        <n v="8554.35"/>
        <n v="219.67"/>
        <n v="1947.57"/>
        <n v="288.14"/>
        <n v="168.18"/>
        <n v="91.71"/>
        <n v="1362.9"/>
        <n v="9452.85"/>
        <n v="311.61"/>
        <n v="1436.96"/>
        <n v="325.85000000000002"/>
        <n v="224.58"/>
        <n v="3328.23"/>
        <n v="7639.68"/>
        <n v="754.58"/>
        <n v="513.08000000000004"/>
        <n v="5355.63"/>
        <n v="669.53"/>
        <n v="3556.58"/>
        <n v="21484.36"/>
        <n v="22112.66"/>
        <n v="11055"/>
        <n v="4558.3999999999996"/>
        <n v="159.87"/>
        <n v="8820.98"/>
        <n v="62.01"/>
        <n v="191.42"/>
        <n v="4500.1899999999996"/>
        <n v="899.7"/>
        <n v="1000.45"/>
        <n v="13.32"/>
        <n v="800.29"/>
        <n v="140.05000000000001"/>
        <n v="62301.18"/>
        <n v="18037.18"/>
        <n v="8187.4"/>
        <n v="2508.52"/>
        <n v="5489.16"/>
        <n v="108.72"/>
        <n v="1673.04"/>
        <n v="2652.84"/>
        <n v="2290.48"/>
        <n v="108.35"/>
        <n v="6236.53"/>
        <n v="488.28"/>
        <n v="-1121.01"/>
        <n v="109.57"/>
        <n v="2165.15"/>
        <n v="3360.07"/>
        <n v="4313.55"/>
        <n v="415.41"/>
        <n v="535.62"/>
        <n v="1530.42"/>
        <n v="42.75"/>
        <n v="6985.87"/>
        <n v="1551.02"/>
        <n v="28192.19"/>
        <n v="5468.21"/>
        <n v="349.66"/>
        <n v="14157.33"/>
        <n v="1406.91"/>
        <n v="47.84"/>
        <n v="3121.53"/>
        <n v="1165.8"/>
        <n v="4721.8599999999997"/>
        <n v="6453.9"/>
        <n v="601.25"/>
        <n v="14127.17"/>
        <n v="15919.46"/>
        <n v="178.91"/>
        <n v="189.61"/>
        <n v="2525.38"/>
        <n v="62.33"/>
        <n v="3280.63"/>
        <n v="1806.63"/>
        <n v="4287.8999999999996"/>
        <n v="1859.14"/>
        <n v="15618.51"/>
        <n v="18.47"/>
        <n v="2126.27"/>
        <n v="203.25"/>
        <n v="2364.52"/>
        <n v="33132.800000000003"/>
        <n v="14812.3"/>
        <n v="610.79999999999995"/>
        <n v="90.56"/>
        <n v="18505.47"/>
        <n v="1149.46"/>
        <n v="290.51"/>
        <n v="6960.03"/>
        <n v="744.73"/>
        <n v="3532.03"/>
        <n v="2050.44"/>
        <n v="31.86"/>
        <n v="1390.43"/>
        <n v="2047.22"/>
        <n v="675.5"/>
        <n v="19934.54"/>
        <n v="592.98"/>
        <n v="265.35000000000002"/>
        <n v="16990.169999999998"/>
        <n v="2968.99"/>
        <n v="2680.98"/>
        <n v="97.33"/>
        <n v="183.37"/>
        <n v="4562.43"/>
        <n v="437.58"/>
        <n v="6857.6"/>
        <n v="4273.66"/>
        <n v="5327.21"/>
        <n v="1002.65"/>
        <n v="816.25"/>
        <n v="3381.55"/>
        <n v="637.37"/>
        <n v="261.27"/>
        <n v="1022.67"/>
        <n v="119.13"/>
        <n v="881.02"/>
        <n v="-494.22"/>
        <n v="11630.61"/>
        <n v="336.24"/>
        <n v="1723.81"/>
        <n v="375.14"/>
        <n v="115.54"/>
        <n v="10067.67"/>
        <n v="585.03"/>
        <n v="43.08"/>
        <n v="6728.68"/>
        <n v="2353.42"/>
        <n v="1187.6099999999999"/>
        <n v="117.78"/>
        <n v="309.58"/>
        <n v="5225.32"/>
        <n v="1373.2"/>
        <n v="18244.7"/>
        <n v="1093.3800000000001"/>
        <n v="1540.98"/>
        <n v="14731.95"/>
        <n v="20783.259999999998"/>
        <n v="206.56"/>
        <n v="525.79999999999995"/>
        <n v="21524.26"/>
        <n v="619.24"/>
        <n v="41413.99"/>
        <n v="134.22999999999999"/>
        <n v="9891.7800000000007"/>
        <n v="4858.76"/>
        <n v="3382.21"/>
        <n v="43566.34"/>
        <n v="5353.59"/>
        <n v="117.32"/>
        <n v="524.17999999999995"/>
        <n v="83.19"/>
        <n v="727.33"/>
        <n v="2842.62"/>
        <n v="32761.54"/>
        <n v="155.44999999999999"/>
        <n v="3946.55"/>
        <n v="274.44"/>
        <n v="243.3"/>
        <n v="26743.41"/>
        <n v="2324.1"/>
        <n v="23603.33"/>
        <n v="13351.61"/>
        <n v="-778.26"/>
        <n v="6700.48"/>
        <n v="32409.18"/>
        <n v="11627.24"/>
        <n v="2922.03"/>
        <n v="59.82"/>
        <n v="416.71"/>
        <n v="4558.1499999999996"/>
        <n v="1125.29"/>
        <n v="515.86"/>
        <n v="25486.25"/>
        <n v="113.47"/>
        <n v="4879.87"/>
        <n v="3880.14"/>
        <n v="6782.32"/>
        <n v="220.27"/>
        <n v="637.87"/>
        <n v="26876.12"/>
        <n v="4159.74"/>
        <n v="19345.25"/>
        <n v="9529.34"/>
        <n v="11332.68"/>
        <n v="206.05"/>
        <n v="2746.42"/>
        <n v="29.96"/>
        <n v="2631.89"/>
        <n v="4885.3"/>
        <n v="66.510000000000005"/>
        <n v="52.5"/>
        <n v="328.72"/>
        <n v="7235.4"/>
        <n v="7.42"/>
        <n v="9375.91"/>
        <n v="-163.84"/>
        <n v="6147.85"/>
        <n v="1031.57"/>
        <n v="2176.37"/>
        <n v="229.77"/>
        <n v="1728.51"/>
        <n v="409.93"/>
        <n v="28486.75"/>
        <n v="252.49"/>
        <n v="533.29999999999995"/>
        <n v="1918.1"/>
        <n v="3744.69"/>
        <n v="236.18"/>
        <n v="833.26"/>
        <n v="595.83000000000004"/>
        <n v="130.38"/>
        <n v="3013.17"/>
        <n v="46538.720000000001"/>
        <n v="2189.6"/>
        <n v="274.82"/>
        <n v="17173.14"/>
        <n v="7033.77"/>
        <n v="2303.5500000000002"/>
        <n v="7706.83"/>
        <n v="1475.12"/>
        <n v="620.95000000000005"/>
        <n v="69.42"/>
        <n v="21405"/>
        <n v="494.31"/>
        <n v="58.11"/>
        <n v="1055.8"/>
        <n v="7507.12"/>
        <n v="6275.23"/>
        <n v="12.79"/>
        <n v="3715.45"/>
        <n v="18055.009999999998"/>
        <n v="5944.45"/>
        <n v="21180.6"/>
        <n v="169.13"/>
        <n v="217.5"/>
        <n v="28.63"/>
        <n v="1124.01"/>
        <n v="153.94999999999999"/>
        <n v="951.64"/>
        <n v="11335.29"/>
        <n v="1101.43"/>
        <n v="2363.62"/>
        <n v="917.52"/>
        <n v="11156.53"/>
        <n v="1978.17"/>
        <n v="1257.03"/>
        <n v="1128.07"/>
        <n v="13124.44"/>
        <n v="64.150000000000006"/>
        <n v="267.73"/>
        <n v="1429.77"/>
        <n v="9393.91"/>
        <n v="39.17"/>
        <n v="-2.87"/>
        <n v="317.42"/>
        <n v="404.94"/>
        <n v="79.349999999999994"/>
        <n v="1678.08"/>
        <n v="376.13"/>
        <n v="843.96"/>
        <n v="640.45000000000005"/>
        <n v="270.85000000000002"/>
        <n v="22880.31"/>
        <n v="72889.52"/>
        <n v="1117.17"/>
        <n v="20594.759999999998"/>
        <n v="866.68"/>
        <n v="2121.16"/>
        <n v="37386.82"/>
        <n v="3409.9"/>
        <n v="693.64"/>
        <n v="12191.89"/>
        <n v="3560.72"/>
        <n v="712.07"/>
        <n v="7339.87"/>
        <n v="7384.25"/>
        <n v="1956.65"/>
        <n v="1025.69"/>
        <n v="123.62"/>
        <n v="10674.27"/>
        <n v="489.14"/>
        <n v="2121.7399999999998"/>
        <n v="847.78"/>
        <n v="3896.87"/>
        <n v="32.130000000000003"/>
        <n v="21355.19"/>
        <n v="93.77"/>
        <n v="60.84"/>
        <n v="21224.14"/>
        <n v="7690.25"/>
        <n v="536.22"/>
        <n v="3937.33"/>
        <n v="834.83"/>
        <n v="3769.55"/>
        <n v="2151.5700000000002"/>
        <n v="2434.36"/>
        <n v="285.19"/>
        <n v="11751.33"/>
        <n v="18796.88"/>
        <n v="19588.22"/>
        <n v="732.47"/>
        <n v="2483.12"/>
        <n v="722.67"/>
        <n v="1650.31"/>
        <n v="1396.48"/>
        <n v="572.76"/>
        <n v="749.1"/>
        <n v="396.45"/>
        <n v="1866.67"/>
        <n v="218.97"/>
        <n v="46667.56"/>
        <n v="604.41999999999996"/>
        <n v="2416.09"/>
        <n v="84.81"/>
        <n v="1790.25"/>
        <n v="1605.94"/>
        <n v="790.1"/>
        <n v="2158.0100000000002"/>
        <n v="558.03"/>
        <n v="1116.21"/>
        <n v="2220.58"/>
        <n v="240.9"/>
        <n v="292.81"/>
        <n v="1214.97"/>
        <n v="3666.06"/>
        <n v="8509.19"/>
        <n v="1253.67"/>
        <n v="742.48"/>
        <n v="74.48"/>
        <n v="262.47000000000003"/>
        <n v="1377.86"/>
        <n v="5.05"/>
        <n v="1293.1600000000001"/>
        <n v="10657.54"/>
        <n v="1291.73"/>
        <n v="1799.46"/>
        <n v="8709.89"/>
        <n v="1881.45"/>
        <n v="728.69"/>
        <n v="359.47"/>
        <n v="6305.83"/>
        <n v="527.64"/>
        <n v="663.04"/>
        <n v="1445"/>
        <n v="2053.19"/>
        <n v="2111.4"/>
        <n v="7651.78"/>
        <n v="1691.52"/>
        <n v="9258.9699999999993"/>
        <n v="1054.51"/>
        <n v="897.49"/>
        <n v="24233.24"/>
        <n v="533.26"/>
        <n v="1147.23"/>
        <n v="31.31"/>
        <n v="107.54"/>
        <n v="819.3"/>
        <n v="14729.12"/>
        <n v="47.4"/>
        <n v="2442.3000000000002"/>
        <n v="448.24"/>
        <n v="6885.83"/>
        <n v="578.04"/>
        <n v="6836.81"/>
        <n v="83341.42"/>
        <n v="949.37"/>
        <n v="660.04"/>
        <n v="-663.24"/>
        <n v="8307.1"/>
        <n v="1402.17"/>
        <n v="-150.78"/>
        <n v="3283.48"/>
        <n v="1354.91"/>
        <n v="729.84"/>
        <n v="467.63"/>
        <n v="5571.02"/>
        <n v="195.09"/>
        <n v="16925.88"/>
        <n v="7342.63"/>
        <n v="11883.69"/>
        <n v="18785.189999999999"/>
        <n v="5864.47"/>
        <n v="1049.1400000000001"/>
        <n v="56119.56"/>
        <n v="61.14"/>
        <n v="673.57"/>
        <n v="99.36"/>
        <n v="488.64"/>
        <n v="3496.41"/>
        <n v="3849.71"/>
        <n v="239.98"/>
        <n v="1839.78"/>
        <n v="45974.95"/>
        <n v="141.12"/>
        <n v="161.44"/>
        <n v="287.55"/>
        <n v="4734.6499999999996"/>
        <n v="15558.12"/>
        <n v="33925.17"/>
        <n v="164.51"/>
        <n v="149.66999999999999"/>
        <n v="4106.92"/>
        <n v="1079"/>
        <n v="29.51"/>
        <n v="1873.84"/>
        <n v="789.42"/>
        <n v="3054.49"/>
        <n v="349.91"/>
        <n v="-65.44"/>
        <n v="1200.3800000000001"/>
        <n v="17735.240000000002"/>
        <n v="2470.44"/>
        <n v="28836.2"/>
        <n v="19970.53"/>
        <n v="4248.8100000000004"/>
        <n v="112.84"/>
        <n v="23395.78"/>
        <n v="4940.5600000000004"/>
        <n v="322.98"/>
        <n v="10610.74"/>
        <n v="1583.78"/>
        <n v="637.30999999999995"/>
        <n v="6466.07"/>
        <n v="2095.34"/>
        <n v="1318.3"/>
        <n v="2164.79"/>
        <n v="3885.69"/>
        <n v="2896.36"/>
        <n v="11656.17"/>
        <n v="55.06"/>
        <n v="2134.9"/>
        <n v="282.8"/>
        <n v="494.07"/>
        <n v="2295.4699999999998"/>
        <n v="1350.09"/>
        <n v="17413.439999999999"/>
        <n v="24762.77"/>
        <n v="71.709999999999994"/>
        <n v="10062.540000000001"/>
        <n v="92.03"/>
        <n v="164.1"/>
        <n v="60.74"/>
        <n v="4218.4399999999996"/>
        <n v="9686.43"/>
        <n v="1054.32"/>
        <n v="842.24"/>
        <n v="78027.48"/>
        <n v="1239.53"/>
        <n v="8073.22"/>
        <n v="8168.82"/>
        <n v="10189.379999999999"/>
        <n v="4327.4799999999996"/>
        <n v="1912.15"/>
        <n v="207.04"/>
        <n v="132.88"/>
        <n v="40.58"/>
        <n v="1188.67"/>
        <n v="1320.56"/>
        <n v="11888.76"/>
        <n v="215.86"/>
        <n v="1045.74"/>
        <n v="32348.55"/>
        <n v="1153.27"/>
        <n v="9439.93"/>
        <n v="4110.63"/>
        <n v="186.9"/>
        <n v="756.93"/>
        <n v="193.06"/>
        <n v="18908.04"/>
        <n v="3134.99"/>
        <n v="844.72"/>
        <n v="864.91"/>
        <n v="1530.66"/>
        <n v="9055.02"/>
        <n v="-73.36"/>
        <n v="12.09"/>
        <n v="914.91"/>
        <n v="822.47"/>
        <n v="57976.160000000003"/>
        <n v="453.23"/>
        <n v="13035.57"/>
        <n v="885.81"/>
        <n v="19258.21"/>
        <n v="341.75"/>
        <n v="9671.59"/>
        <n v="23190.35"/>
        <n v="1313.21"/>
        <n v="371.57"/>
        <n v="579.15"/>
        <n v="378.21"/>
        <n v="2755.89"/>
        <n v="1551.46"/>
        <n v="1021.04"/>
        <n v="455.33"/>
        <n v="269.49"/>
        <n v="-182.04"/>
        <n v="3454.4"/>
        <n v="967.26"/>
        <n v="750.56"/>
        <n v="7515.69"/>
        <n v="1704.65"/>
        <n v="168.08"/>
      </sharedItems>
    </cacheField>
    <cacheField name="Channel" numFmtId="0">
      <sharedItems count="2">
        <s v="Store"/>
        <s v="Online"/>
      </sharedItems>
    </cacheField>
    <cacheField name="Payment_Method" numFmtId="0">
      <sharedItems count="5">
        <s v="UPI"/>
        <s v="Debit Card"/>
        <s v="Credit Card"/>
        <s v="Net Banking"/>
        <s v="Cash"/>
      </sharedItems>
    </cacheField>
    <cacheField name="Customer_Segment" numFmtId="0">
      <sharedItems count="3">
        <s v="Consumer"/>
        <s v="Corporate"/>
        <s v="Home Office"/>
      </sharedItems>
    </cacheField>
    <cacheField name="Month" numFmtId="0">
      <sharedItems count="12">
        <s v="Jan"/>
        <s v="Feb"/>
        <s v="Mar"/>
        <s v="Apr"/>
        <s v="May"/>
        <s v="Jun"/>
        <s v="Jul"/>
        <s v="Aug"/>
        <s v="Sep"/>
        <s v="Oct"/>
        <s v="Nov"/>
        <s v="Dec"/>
      </sharedItems>
    </cacheField>
    <cacheField name="Month_Number" numFmtId="0">
      <sharedItems containsSemiMixedTypes="0" containsString="0" containsNumber="1" containsInteger="1" minValue="1" maxValue="12"/>
    </cacheField>
    <cacheField name="Quarter" numFmtId="0">
      <sharedItems/>
    </cacheField>
    <cacheField name="Profit_Margin" numFmtId="0">
      <sharedItems containsSemiMixedTypes="0" containsString="0" containsNumber="1" minValue="-3.2704501304376209E-2" maxValue="0.37780258646835302"/>
    </cacheField>
    <cacheField name="Months (Order_Date)" numFmtId="0" databaseField="0">
      <fieldGroup base="1">
        <rangePr groupBy="months" startDate="2025-01-01T00:00:00" endDate="2026-01-01T00:00:00"/>
        <groupItems count="14">
          <s v="&lt;1/1/2025"/>
          <s v="Jan"/>
          <s v="Feb"/>
          <s v="Mar"/>
          <s v="Apr"/>
          <s v="May"/>
          <s v="Jun"/>
          <s v="Jul"/>
          <s v="Aug"/>
          <s v="Sep"/>
          <s v="Oct"/>
          <s v="Nov"/>
          <s v="Dec"/>
          <s v="&gt;1/1/2026"/>
        </groupItems>
      </fieldGroup>
    </cacheField>
    <cacheField name="Quarters (Order_Date)" numFmtId="0" databaseField="0">
      <fieldGroup base="1">
        <rangePr groupBy="quarters" startDate="2025-01-01T00:00:00" endDate="2026-01-01T00:00:00"/>
        <groupItems count="6">
          <s v="&lt;1/1/2025"/>
          <s v="Qtr1"/>
          <s v="Qtr2"/>
          <s v="Qtr3"/>
          <s v="Qtr4"/>
          <s v="&gt;1/1/2026"/>
        </groupItems>
      </fieldGroup>
    </cacheField>
  </cacheFields>
  <extLst>
    <ext xmlns:x14="http://schemas.microsoft.com/office/spreadsheetml/2009/9/main" uri="{725AE2AE-9491-48be-B2B4-4EB974FC3084}">
      <x14:pivotCacheDefinition pivotCacheId="11938759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CUST1034"/>
    <s v="Customer 1079"/>
    <x v="0"/>
    <s v="Bhubaneswar"/>
    <x v="0"/>
    <x v="0"/>
    <n v="2"/>
    <n v="8116.61"/>
    <n v="0.1"/>
    <x v="0"/>
    <n v="12361.71"/>
    <x v="0"/>
    <x v="0"/>
    <x v="0"/>
    <x v="0"/>
    <x v="0"/>
    <n v="1"/>
    <s v="Q1"/>
    <n v="0.15388127228796913"/>
  </r>
  <r>
    <x v="1"/>
    <x v="0"/>
    <s v="CUST1247"/>
    <s v="Customer 1128"/>
    <x v="1"/>
    <s v="Hyderabad"/>
    <x v="1"/>
    <x v="1"/>
    <n v="4"/>
    <n v="4045.81"/>
    <n v="0"/>
    <x v="1"/>
    <n v="12790.8"/>
    <x v="1"/>
    <x v="1"/>
    <x v="1"/>
    <x v="1"/>
    <x v="0"/>
    <n v="1"/>
    <s v="Q1"/>
    <n v="0.20962674964963754"/>
  </r>
  <r>
    <x v="2"/>
    <x v="0"/>
    <s v="CUST1217"/>
    <s v="Customer 1034"/>
    <x v="0"/>
    <s v="Patna"/>
    <x v="2"/>
    <x v="0"/>
    <n v="2"/>
    <n v="73738.990000000005"/>
    <n v="0.02"/>
    <x v="2"/>
    <n v="116899.79"/>
    <x v="2"/>
    <x v="1"/>
    <x v="2"/>
    <x v="2"/>
    <x v="0"/>
    <n v="1"/>
    <s v="Q1"/>
    <n v="0.19116399390514335"/>
  </r>
  <r>
    <x v="3"/>
    <x v="1"/>
    <s v="CUST1243"/>
    <s v="Customer 1297"/>
    <x v="1"/>
    <s v="Chennai"/>
    <x v="3"/>
    <x v="2"/>
    <n v="1"/>
    <n v="1122.78"/>
    <n v="0.02"/>
    <x v="3"/>
    <n v="767.24"/>
    <x v="3"/>
    <x v="1"/>
    <x v="1"/>
    <x v="0"/>
    <x v="0"/>
    <n v="1"/>
    <s v="Q1"/>
    <n v="0.30271193834520865"/>
  </r>
  <r>
    <x v="4"/>
    <x v="1"/>
    <s v="CUST1022"/>
    <s v="Customer 1007"/>
    <x v="2"/>
    <s v="Ahmedabad"/>
    <x v="3"/>
    <x v="2"/>
    <n v="2"/>
    <n v="1338.35"/>
    <n v="0.1"/>
    <x v="4"/>
    <n v="2094.54"/>
    <x v="4"/>
    <x v="0"/>
    <x v="1"/>
    <x v="1"/>
    <x v="0"/>
    <n v="1"/>
    <s v="Q1"/>
    <n v="0.1305463194729829"/>
  </r>
  <r>
    <x v="5"/>
    <x v="1"/>
    <s v="CUST1246"/>
    <s v="Customer 1210"/>
    <x v="0"/>
    <s v="Kolkata"/>
    <x v="4"/>
    <x v="1"/>
    <n v="2"/>
    <n v="5083.66"/>
    <n v="0"/>
    <x v="5"/>
    <n v="8160.77"/>
    <x v="5"/>
    <x v="1"/>
    <x v="0"/>
    <x v="1"/>
    <x v="0"/>
    <n v="1"/>
    <s v="Q1"/>
    <n v="0.19735289142074805"/>
  </r>
  <r>
    <x v="6"/>
    <x v="2"/>
    <s v="CUST1138"/>
    <s v="Customer 1231"/>
    <x v="0"/>
    <s v="Kolkata"/>
    <x v="5"/>
    <x v="3"/>
    <n v="1"/>
    <n v="234.74"/>
    <n v="0.15"/>
    <x v="6"/>
    <n v="178.79"/>
    <x v="6"/>
    <x v="0"/>
    <x v="0"/>
    <x v="1"/>
    <x v="0"/>
    <n v="1"/>
    <s v="Q1"/>
    <n v="0.10394426903222573"/>
  </r>
  <r>
    <x v="7"/>
    <x v="2"/>
    <s v="CUST1016"/>
    <s v="Customer 1280"/>
    <x v="2"/>
    <s v="Ahmedabad"/>
    <x v="6"/>
    <x v="2"/>
    <n v="1"/>
    <n v="2527.2399999999998"/>
    <n v="0"/>
    <x v="7"/>
    <n v="1921.3"/>
    <x v="7"/>
    <x v="0"/>
    <x v="2"/>
    <x v="0"/>
    <x v="0"/>
    <n v="1"/>
    <s v="Q1"/>
    <n v="0.23976353650622817"/>
  </r>
  <r>
    <x v="8"/>
    <x v="2"/>
    <s v="CUST1210"/>
    <s v="Customer 1161"/>
    <x v="1"/>
    <s v="Hyderabad"/>
    <x v="7"/>
    <x v="4"/>
    <n v="1"/>
    <n v="2231.7199999999998"/>
    <n v="0.1"/>
    <x v="8"/>
    <n v="1715.82"/>
    <x v="8"/>
    <x v="0"/>
    <x v="3"/>
    <x v="1"/>
    <x v="0"/>
    <n v="1"/>
    <s v="Q1"/>
    <n v="0.14574195315028254"/>
  </r>
  <r>
    <x v="9"/>
    <x v="2"/>
    <s v="CUST1152"/>
    <s v="Customer 1259"/>
    <x v="0"/>
    <s v="Kolkata"/>
    <x v="6"/>
    <x v="2"/>
    <n v="2"/>
    <n v="919.22"/>
    <n v="0.05"/>
    <x v="9"/>
    <n v="1206.43"/>
    <x v="9"/>
    <x v="0"/>
    <x v="0"/>
    <x v="0"/>
    <x v="0"/>
    <n v="1"/>
    <s v="Q1"/>
    <n v="0.30923779859377509"/>
  </r>
  <r>
    <x v="10"/>
    <x v="2"/>
    <s v="CUST1044"/>
    <s v="Customer 1056"/>
    <x v="3"/>
    <s v="Bhopal"/>
    <x v="7"/>
    <x v="4"/>
    <n v="1"/>
    <n v="2748.08"/>
    <n v="0.02"/>
    <x v="10"/>
    <n v="2304.65"/>
    <x v="10"/>
    <x v="0"/>
    <x v="4"/>
    <x v="1"/>
    <x v="0"/>
    <n v="1"/>
    <s v="Q1"/>
    <n v="0.14424533626425856"/>
  </r>
  <r>
    <x v="11"/>
    <x v="2"/>
    <s v="CUST1093"/>
    <s v="Customer 1006"/>
    <x v="3"/>
    <s v="Indore"/>
    <x v="7"/>
    <x v="4"/>
    <n v="1"/>
    <n v="821.76"/>
    <n v="0.15"/>
    <x v="11"/>
    <n v="601.64"/>
    <x v="11"/>
    <x v="0"/>
    <x v="2"/>
    <x v="1"/>
    <x v="0"/>
    <n v="1"/>
    <s v="Q1"/>
    <n v="0.13866857551896922"/>
  </r>
  <r>
    <x v="12"/>
    <x v="3"/>
    <s v="CUST1184"/>
    <s v="Customer 1020"/>
    <x v="3"/>
    <s v="Indore"/>
    <x v="5"/>
    <x v="3"/>
    <n v="3"/>
    <n v="92.15"/>
    <n v="0.05"/>
    <x v="12"/>
    <n v="210.88"/>
    <x v="12"/>
    <x v="1"/>
    <x v="2"/>
    <x v="1"/>
    <x v="0"/>
    <n v="1"/>
    <s v="Q1"/>
    <n v="0.19704527281727144"/>
  </r>
  <r>
    <x v="13"/>
    <x v="3"/>
    <s v="CUST1218"/>
    <s v="Customer 1011"/>
    <x v="1"/>
    <s v="Bengaluru"/>
    <x v="0"/>
    <x v="0"/>
    <n v="2"/>
    <n v="18028.77"/>
    <n v="0.05"/>
    <x v="13"/>
    <n v="26803.48"/>
    <x v="13"/>
    <x v="0"/>
    <x v="3"/>
    <x v="1"/>
    <x v="0"/>
    <n v="1"/>
    <s v="Q1"/>
    <n v="0.21752310488558343"/>
  </r>
  <r>
    <x v="14"/>
    <x v="3"/>
    <s v="CUST1250"/>
    <s v="Customer 1163"/>
    <x v="0"/>
    <s v="Kolkata"/>
    <x v="4"/>
    <x v="1"/>
    <n v="2"/>
    <n v="11550.55"/>
    <n v="0"/>
    <x v="14"/>
    <n v="16115.85"/>
    <x v="14"/>
    <x v="1"/>
    <x v="2"/>
    <x v="2"/>
    <x v="0"/>
    <n v="1"/>
    <s v="Q1"/>
    <n v="0.30237737596910974"/>
  </r>
  <r>
    <x v="15"/>
    <x v="3"/>
    <s v="CUST1261"/>
    <s v="Customer 1054"/>
    <x v="1"/>
    <s v="Bengaluru"/>
    <x v="6"/>
    <x v="2"/>
    <n v="1"/>
    <n v="995.5"/>
    <n v="0.05"/>
    <x v="15"/>
    <n v="831.06"/>
    <x v="15"/>
    <x v="1"/>
    <x v="0"/>
    <x v="0"/>
    <x v="0"/>
    <n v="1"/>
    <s v="Q1"/>
    <n v="0.12124095926912827"/>
  </r>
  <r>
    <x v="16"/>
    <x v="3"/>
    <s v="CUST1078"/>
    <s v="Customer 1062"/>
    <x v="0"/>
    <s v="Kolkata"/>
    <x v="7"/>
    <x v="4"/>
    <n v="3"/>
    <n v="1344.39"/>
    <n v="0.05"/>
    <x v="16"/>
    <n v="2672.82"/>
    <x v="16"/>
    <x v="0"/>
    <x v="0"/>
    <x v="0"/>
    <x v="0"/>
    <n v="1"/>
    <s v="Q1"/>
    <n v="0.3024107988756391"/>
  </r>
  <r>
    <x v="17"/>
    <x v="4"/>
    <s v="CUST1144"/>
    <s v="Customer 1261"/>
    <x v="3"/>
    <s v="Indore"/>
    <x v="4"/>
    <x v="1"/>
    <n v="3"/>
    <n v="11375.8"/>
    <n v="0.1"/>
    <x v="17"/>
    <n v="25908.35"/>
    <x v="17"/>
    <x v="1"/>
    <x v="4"/>
    <x v="2"/>
    <x v="0"/>
    <n v="1"/>
    <s v="Q1"/>
    <n v="0.15648260472360756"/>
  </r>
  <r>
    <x v="18"/>
    <x v="4"/>
    <s v="CUST1280"/>
    <s v="Customer 1094"/>
    <x v="4"/>
    <s v="Delhi"/>
    <x v="8"/>
    <x v="0"/>
    <n v="1"/>
    <n v="12718.73"/>
    <n v="0.05"/>
    <x v="18"/>
    <n v="11086.01"/>
    <x v="18"/>
    <x v="1"/>
    <x v="3"/>
    <x v="0"/>
    <x v="0"/>
    <n v="1"/>
    <s v="Q1"/>
    <n v="8.2495847399483055E-2"/>
  </r>
  <r>
    <x v="19"/>
    <x v="5"/>
    <s v="CUST1200"/>
    <s v="Customer 1067"/>
    <x v="0"/>
    <s v="Kolkata"/>
    <x v="4"/>
    <x v="1"/>
    <n v="4"/>
    <n v="14295.99"/>
    <n v="0.02"/>
    <x v="19"/>
    <n v="36153.42"/>
    <x v="19"/>
    <x v="1"/>
    <x v="2"/>
    <x v="1"/>
    <x v="0"/>
    <n v="1"/>
    <s v="Q1"/>
    <n v="0.35486724905728523"/>
  </r>
  <r>
    <x v="20"/>
    <x v="5"/>
    <s v="CUST1030"/>
    <s v="Customer 1144"/>
    <x v="4"/>
    <s v="Lucknow"/>
    <x v="9"/>
    <x v="0"/>
    <n v="1"/>
    <n v="6953.64"/>
    <n v="0.05"/>
    <x v="20"/>
    <n v="6040.18"/>
    <x v="20"/>
    <x v="1"/>
    <x v="1"/>
    <x v="1"/>
    <x v="0"/>
    <n v="1"/>
    <s v="Q1"/>
    <n v="8.5646900677569943E-2"/>
  </r>
  <r>
    <x v="21"/>
    <x v="5"/>
    <s v="CUST1137"/>
    <s v="Customer 1164"/>
    <x v="2"/>
    <s v="Pune"/>
    <x v="0"/>
    <x v="0"/>
    <n v="1"/>
    <n v="6807.82"/>
    <n v="0"/>
    <x v="21"/>
    <n v="4903.3999999999996"/>
    <x v="21"/>
    <x v="1"/>
    <x v="0"/>
    <x v="1"/>
    <x v="0"/>
    <n v="1"/>
    <s v="Q1"/>
    <n v="0.27974006363270476"/>
  </r>
  <r>
    <x v="22"/>
    <x v="6"/>
    <s v="CUST1046"/>
    <s v="Customer 1114"/>
    <x v="1"/>
    <s v="Chennai"/>
    <x v="5"/>
    <x v="3"/>
    <n v="1"/>
    <n v="387.9"/>
    <n v="0.15"/>
    <x v="22"/>
    <n v="279.58999999999997"/>
    <x v="22"/>
    <x v="1"/>
    <x v="1"/>
    <x v="2"/>
    <x v="0"/>
    <n v="1"/>
    <s v="Q1"/>
    <n v="0.15201237451093386"/>
  </r>
  <r>
    <x v="23"/>
    <x v="6"/>
    <s v="CUST1153"/>
    <s v="Customer 1174"/>
    <x v="3"/>
    <s v="Nagpur"/>
    <x v="2"/>
    <x v="0"/>
    <n v="4"/>
    <n v="71475.81"/>
    <n v="0.1"/>
    <x v="23"/>
    <n v="238303.65"/>
    <x v="23"/>
    <x v="1"/>
    <x v="3"/>
    <x v="2"/>
    <x v="0"/>
    <n v="1"/>
    <s v="Q1"/>
    <n v="7.3876080532605984E-2"/>
  </r>
  <r>
    <x v="24"/>
    <x v="6"/>
    <s v="CUST1079"/>
    <s v="Customer 1027"/>
    <x v="2"/>
    <s v="Ahmedabad"/>
    <x v="1"/>
    <x v="1"/>
    <n v="1"/>
    <n v="5910.95"/>
    <n v="0"/>
    <x v="24"/>
    <n v="3804.89"/>
    <x v="24"/>
    <x v="0"/>
    <x v="2"/>
    <x v="2"/>
    <x v="0"/>
    <n v="1"/>
    <s v="Q1"/>
    <n v="0.35629805699591438"/>
  </r>
  <r>
    <x v="25"/>
    <x v="6"/>
    <s v="CUST1122"/>
    <s v="Customer 1164"/>
    <x v="0"/>
    <s v="Patna"/>
    <x v="0"/>
    <x v="0"/>
    <n v="1"/>
    <n v="20644.07"/>
    <n v="0.1"/>
    <x v="25"/>
    <n v="13372.33"/>
    <x v="25"/>
    <x v="0"/>
    <x v="2"/>
    <x v="1"/>
    <x v="0"/>
    <n v="1"/>
    <s v="Q1"/>
    <n v="0.28027046781265103"/>
  </r>
  <r>
    <x v="26"/>
    <x v="6"/>
    <s v="CUST1183"/>
    <s v="Customer 1134"/>
    <x v="0"/>
    <s v="Patna"/>
    <x v="0"/>
    <x v="0"/>
    <n v="1"/>
    <n v="21533.67"/>
    <n v="0.02"/>
    <x v="26"/>
    <n v="15340.7"/>
    <x v="26"/>
    <x v="1"/>
    <x v="4"/>
    <x v="2"/>
    <x v="0"/>
    <n v="1"/>
    <s v="Q1"/>
    <n v="0.27305596360707007"/>
  </r>
  <r>
    <x v="27"/>
    <x v="6"/>
    <s v="CUST1067"/>
    <s v="Customer 1191"/>
    <x v="1"/>
    <s v="Bengaluru"/>
    <x v="8"/>
    <x v="0"/>
    <n v="1"/>
    <n v="29935.94"/>
    <n v="0.15"/>
    <x v="27"/>
    <n v="20795.82"/>
    <x v="27"/>
    <x v="0"/>
    <x v="0"/>
    <x v="1"/>
    <x v="0"/>
    <n v="1"/>
    <s v="Q1"/>
    <n v="0.18273254066035122"/>
  </r>
  <r>
    <x v="28"/>
    <x v="7"/>
    <s v="CUST1196"/>
    <s v="Customer 1295"/>
    <x v="3"/>
    <s v="Indore"/>
    <x v="6"/>
    <x v="2"/>
    <n v="1"/>
    <n v="1067.45"/>
    <n v="0.05"/>
    <x v="28"/>
    <n v="772.42"/>
    <x v="28"/>
    <x v="0"/>
    <x v="3"/>
    <x v="1"/>
    <x v="0"/>
    <n v="1"/>
    <s v="Q1"/>
    <n v="0.23830467024297886"/>
  </r>
  <r>
    <x v="29"/>
    <x v="8"/>
    <s v="CUST1214"/>
    <s v="Customer 1273"/>
    <x v="1"/>
    <s v="Chennai"/>
    <x v="3"/>
    <x v="2"/>
    <n v="3"/>
    <n v="622.82000000000005"/>
    <n v="0"/>
    <x v="29"/>
    <n v="1289.05"/>
    <x v="29"/>
    <x v="0"/>
    <x v="4"/>
    <x v="2"/>
    <x v="0"/>
    <n v="1"/>
    <s v="Q1"/>
    <n v="0.31010029650086163"/>
  </r>
  <r>
    <x v="30"/>
    <x v="8"/>
    <s v="CUST1187"/>
    <s v="Customer 1031"/>
    <x v="2"/>
    <s v="Mumbai"/>
    <x v="1"/>
    <x v="1"/>
    <n v="1"/>
    <n v="9080.2999999999993"/>
    <n v="0.15"/>
    <x v="30"/>
    <n v="7435.02"/>
    <x v="30"/>
    <x v="0"/>
    <x v="4"/>
    <x v="0"/>
    <x v="0"/>
    <n v="1"/>
    <s v="Q1"/>
    <n v="3.6696142260227382E-2"/>
  </r>
  <r>
    <x v="31"/>
    <x v="8"/>
    <s v="CUST1106"/>
    <s v="Customer 1167"/>
    <x v="2"/>
    <s v="Ahmedabad"/>
    <x v="1"/>
    <x v="1"/>
    <n v="2"/>
    <n v="5883.01"/>
    <n v="0.15"/>
    <x v="31"/>
    <n v="8251.57"/>
    <x v="31"/>
    <x v="0"/>
    <x v="0"/>
    <x v="2"/>
    <x v="0"/>
    <n v="1"/>
    <s v="Q1"/>
    <n v="0.17493540723438972"/>
  </r>
  <r>
    <x v="32"/>
    <x v="8"/>
    <s v="CUST1034"/>
    <s v="Customer 1036"/>
    <x v="2"/>
    <s v="Ahmedabad"/>
    <x v="6"/>
    <x v="2"/>
    <n v="2"/>
    <n v="2319.4"/>
    <n v="0.15"/>
    <x v="32"/>
    <n v="3926.94"/>
    <x v="32"/>
    <x v="1"/>
    <x v="2"/>
    <x v="2"/>
    <x v="0"/>
    <n v="1"/>
    <s v="Q1"/>
    <n v="4.0679891858442091E-3"/>
  </r>
  <r>
    <x v="33"/>
    <x v="8"/>
    <s v="CUST1261"/>
    <s v="Customer 1138"/>
    <x v="0"/>
    <s v="Patna"/>
    <x v="8"/>
    <x v="0"/>
    <n v="1"/>
    <n v="15733.49"/>
    <n v="0"/>
    <x v="33"/>
    <n v="11265.18"/>
    <x v="33"/>
    <x v="0"/>
    <x v="2"/>
    <x v="0"/>
    <x v="0"/>
    <n v="1"/>
    <s v="Q1"/>
    <n v="0.28399992627192061"/>
  </r>
  <r>
    <x v="34"/>
    <x v="9"/>
    <s v="CUST1096"/>
    <s v="Customer 1190"/>
    <x v="2"/>
    <s v="Ahmedabad"/>
    <x v="10"/>
    <x v="0"/>
    <n v="4"/>
    <n v="30677.87"/>
    <n v="0.02"/>
    <x v="34"/>
    <n v="102540.38"/>
    <x v="34"/>
    <x v="1"/>
    <x v="2"/>
    <x v="1"/>
    <x v="0"/>
    <n v="1"/>
    <s v="Q1"/>
    <n v="0.14732475588789865"/>
  </r>
  <r>
    <x v="35"/>
    <x v="10"/>
    <s v="CUST1188"/>
    <s v="Customer 1154"/>
    <x v="2"/>
    <s v="Mumbai"/>
    <x v="6"/>
    <x v="2"/>
    <n v="3"/>
    <n v="3359.52"/>
    <n v="0"/>
    <x v="35"/>
    <n v="6450.97"/>
    <x v="35"/>
    <x v="0"/>
    <x v="0"/>
    <x v="0"/>
    <x v="0"/>
    <n v="1"/>
    <s v="Q1"/>
    <n v="0.35993137908590117"/>
  </r>
  <r>
    <x v="36"/>
    <x v="10"/>
    <s v="CUST1078"/>
    <s v="Customer 1172"/>
    <x v="0"/>
    <s v="Kolkata"/>
    <x v="0"/>
    <x v="0"/>
    <n v="1"/>
    <n v="18378.36"/>
    <n v="0.05"/>
    <x v="36"/>
    <n v="14318.49"/>
    <x v="36"/>
    <x v="0"/>
    <x v="2"/>
    <x v="0"/>
    <x v="0"/>
    <n v="1"/>
    <s v="Q1"/>
    <n v="0.17989981351062806"/>
  </r>
  <r>
    <x v="37"/>
    <x v="11"/>
    <s v="CUST1271"/>
    <s v="Customer 1089"/>
    <x v="0"/>
    <s v="Kolkata"/>
    <x v="3"/>
    <x v="2"/>
    <n v="1"/>
    <n v="1261.1300000000001"/>
    <n v="0.1"/>
    <x v="37"/>
    <n v="951.52"/>
    <x v="37"/>
    <x v="1"/>
    <x v="4"/>
    <x v="1"/>
    <x v="0"/>
    <n v="1"/>
    <s v="Q1"/>
    <n v="0.16167115997955983"/>
  </r>
  <r>
    <x v="38"/>
    <x v="11"/>
    <s v="CUST1279"/>
    <s v="Customer 1217"/>
    <x v="4"/>
    <s v="Lucknow"/>
    <x v="1"/>
    <x v="1"/>
    <n v="2"/>
    <n v="14405.4"/>
    <n v="0.1"/>
    <x v="38"/>
    <n v="21076.21"/>
    <x v="38"/>
    <x v="1"/>
    <x v="0"/>
    <x v="1"/>
    <x v="0"/>
    <n v="1"/>
    <s v="Q1"/>
    <n v="0.187179421914313"/>
  </r>
  <r>
    <x v="39"/>
    <x v="11"/>
    <s v="CUST1297"/>
    <s v="Customer 1181"/>
    <x v="0"/>
    <s v="Patna"/>
    <x v="5"/>
    <x v="3"/>
    <n v="2"/>
    <n v="222.82"/>
    <n v="0.1"/>
    <x v="39"/>
    <n v="374.99"/>
    <x v="39"/>
    <x v="1"/>
    <x v="4"/>
    <x v="0"/>
    <x v="0"/>
    <n v="1"/>
    <s v="Q1"/>
    <n v="6.5049366709883316E-2"/>
  </r>
  <r>
    <x v="40"/>
    <x v="12"/>
    <s v="CUST1209"/>
    <s v="Customer 1089"/>
    <x v="1"/>
    <s v="Chennai"/>
    <x v="11"/>
    <x v="4"/>
    <n v="4"/>
    <n v="1286.4100000000001"/>
    <n v="0.15"/>
    <x v="40"/>
    <n v="3746.66"/>
    <x v="40"/>
    <x v="0"/>
    <x v="3"/>
    <x v="0"/>
    <x v="0"/>
    <n v="1"/>
    <s v="Q1"/>
    <n v="0.14338365582252463"/>
  </r>
  <r>
    <x v="41"/>
    <x v="12"/>
    <s v="CUST1085"/>
    <s v="Customer 1003"/>
    <x v="4"/>
    <s v="Jaipur"/>
    <x v="4"/>
    <x v="1"/>
    <n v="1"/>
    <n v="8103.96"/>
    <n v="0.1"/>
    <x v="41"/>
    <n v="5051.33"/>
    <x v="41"/>
    <x v="0"/>
    <x v="3"/>
    <x v="0"/>
    <x v="0"/>
    <n v="1"/>
    <s v="Q1"/>
    <n v="0.3074260032137941"/>
  </r>
  <r>
    <x v="42"/>
    <x v="13"/>
    <s v="CUST1102"/>
    <s v="Customer 1226"/>
    <x v="3"/>
    <s v="Indore"/>
    <x v="0"/>
    <x v="0"/>
    <n v="2"/>
    <n v="14925.98"/>
    <n v="0.15"/>
    <x v="42"/>
    <n v="18886.16"/>
    <x v="42"/>
    <x v="1"/>
    <x v="0"/>
    <x v="0"/>
    <x v="0"/>
    <n v="1"/>
    <s v="Q1"/>
    <n v="0.25569348672291548"/>
  </r>
  <r>
    <x v="43"/>
    <x v="14"/>
    <s v="CUST1145"/>
    <s v="Customer 1208"/>
    <x v="2"/>
    <s v="Pune"/>
    <x v="2"/>
    <x v="0"/>
    <n v="3"/>
    <n v="65975.600000000006"/>
    <n v="0.15"/>
    <x v="43"/>
    <n v="152719.84"/>
    <x v="43"/>
    <x v="1"/>
    <x v="3"/>
    <x v="0"/>
    <x v="0"/>
    <n v="1"/>
    <s v="Q1"/>
    <n v="9.2238140565097812E-2"/>
  </r>
  <r>
    <x v="44"/>
    <x v="14"/>
    <s v="CUST1059"/>
    <s v="Customer 1243"/>
    <x v="1"/>
    <s v="Bengaluru"/>
    <x v="2"/>
    <x v="0"/>
    <n v="1"/>
    <n v="55292.94"/>
    <n v="0.05"/>
    <x v="44"/>
    <n v="48314"/>
    <x v="44"/>
    <x v="0"/>
    <x v="0"/>
    <x v="1"/>
    <x v="0"/>
    <n v="1"/>
    <s v="Q1"/>
    <n v="8.0228958528823224E-2"/>
  </r>
  <r>
    <x v="45"/>
    <x v="14"/>
    <s v="CUST1137"/>
    <s v="Customer 1166"/>
    <x v="2"/>
    <s v="Ahmedabad"/>
    <x v="0"/>
    <x v="0"/>
    <n v="2"/>
    <n v="8976.3700000000008"/>
    <n v="0.15"/>
    <x v="45"/>
    <n v="13071.52"/>
    <x v="45"/>
    <x v="1"/>
    <x v="0"/>
    <x v="0"/>
    <x v="0"/>
    <n v="1"/>
    <s v="Q1"/>
    <n v="0.14340330134739376"/>
  </r>
  <r>
    <x v="46"/>
    <x v="14"/>
    <s v="CUST1061"/>
    <s v="Customer 1054"/>
    <x v="3"/>
    <s v="Bhopal"/>
    <x v="7"/>
    <x v="4"/>
    <n v="1"/>
    <n v="1264.07"/>
    <n v="0.05"/>
    <x v="46"/>
    <n v="1026.23"/>
    <x v="46"/>
    <x v="0"/>
    <x v="2"/>
    <x v="0"/>
    <x v="0"/>
    <n v="1"/>
    <s v="Q1"/>
    <n v="0.14542789810720561"/>
  </r>
  <r>
    <x v="47"/>
    <x v="14"/>
    <s v="CUST1022"/>
    <s v="Customer 1072"/>
    <x v="4"/>
    <s v="Jaipur"/>
    <x v="9"/>
    <x v="0"/>
    <n v="2"/>
    <n v="6106.72"/>
    <n v="0.15"/>
    <x v="47"/>
    <n v="10224.84"/>
    <x v="47"/>
    <x v="0"/>
    <x v="0"/>
    <x v="2"/>
    <x v="0"/>
    <n v="1"/>
    <s v="Q1"/>
    <n v="1.5082715081366519E-2"/>
  </r>
  <r>
    <x v="48"/>
    <x v="15"/>
    <s v="CUST1277"/>
    <s v="Customer 1059"/>
    <x v="1"/>
    <s v="Hyderabad"/>
    <x v="11"/>
    <x v="4"/>
    <n v="1"/>
    <n v="2083.98"/>
    <n v="0.15"/>
    <x v="48"/>
    <n v="1446.25"/>
    <x v="48"/>
    <x v="1"/>
    <x v="0"/>
    <x v="2"/>
    <x v="0"/>
    <n v="1"/>
    <s v="Q1"/>
    <n v="0.18354616174959634"/>
  </r>
  <r>
    <x v="49"/>
    <x v="15"/>
    <s v="CUST1253"/>
    <s v="Customer 1122"/>
    <x v="0"/>
    <s v="Kolkata"/>
    <x v="7"/>
    <x v="4"/>
    <n v="2"/>
    <n v="1719.19"/>
    <n v="0"/>
    <x v="49"/>
    <n v="2599.83"/>
    <x v="49"/>
    <x v="0"/>
    <x v="2"/>
    <x v="2"/>
    <x v="0"/>
    <n v="1"/>
    <s v="Q1"/>
    <n v="0.243879385059243"/>
  </r>
  <r>
    <x v="50"/>
    <x v="15"/>
    <s v="CUST1127"/>
    <s v="Customer 1168"/>
    <x v="0"/>
    <s v="Bhubaneswar"/>
    <x v="3"/>
    <x v="2"/>
    <n v="2"/>
    <n v="787.76"/>
    <n v="0.1"/>
    <x v="50"/>
    <n v="1009.87"/>
    <x v="50"/>
    <x v="0"/>
    <x v="4"/>
    <x v="2"/>
    <x v="0"/>
    <n v="1"/>
    <s v="Q1"/>
    <n v="0.2878058068929526"/>
  </r>
  <r>
    <x v="51"/>
    <x v="15"/>
    <s v="CUST1057"/>
    <s v="Customer 1218"/>
    <x v="3"/>
    <s v="Nagpur"/>
    <x v="6"/>
    <x v="2"/>
    <n v="4"/>
    <n v="2943.1"/>
    <n v="0.1"/>
    <x v="51"/>
    <n v="10179.02"/>
    <x v="51"/>
    <x v="1"/>
    <x v="4"/>
    <x v="0"/>
    <x v="0"/>
    <n v="1"/>
    <s v="Q1"/>
    <n v="3.9276424329599553E-2"/>
  </r>
  <r>
    <x v="52"/>
    <x v="15"/>
    <s v="CUST1272"/>
    <s v="Customer 1009"/>
    <x v="1"/>
    <s v="Hyderabad"/>
    <x v="8"/>
    <x v="0"/>
    <n v="1"/>
    <n v="29690.67"/>
    <n v="0.02"/>
    <x v="52"/>
    <n v="19023.12"/>
    <x v="52"/>
    <x v="1"/>
    <x v="3"/>
    <x v="0"/>
    <x v="0"/>
    <n v="1"/>
    <s v="Q1"/>
    <n v="0.34621399010065002"/>
  </r>
  <r>
    <x v="53"/>
    <x v="15"/>
    <s v="CUST1223"/>
    <s v="Customer 1188"/>
    <x v="3"/>
    <s v="Nagpur"/>
    <x v="5"/>
    <x v="3"/>
    <n v="2"/>
    <n v="82.04"/>
    <n v="0.05"/>
    <x v="53"/>
    <n v="143.59"/>
    <x v="53"/>
    <x v="0"/>
    <x v="3"/>
    <x v="2"/>
    <x v="0"/>
    <n v="1"/>
    <s v="Q1"/>
    <n v="7.8842699512445463E-2"/>
  </r>
  <r>
    <x v="54"/>
    <x v="15"/>
    <s v="CUST1154"/>
    <s v="Customer 1149"/>
    <x v="3"/>
    <s v="Indore"/>
    <x v="7"/>
    <x v="4"/>
    <n v="4"/>
    <n v="2245.44"/>
    <n v="0.05"/>
    <x v="54"/>
    <n v="6027.54"/>
    <x v="54"/>
    <x v="1"/>
    <x v="1"/>
    <x v="1"/>
    <x v="0"/>
    <n v="1"/>
    <s v="Q1"/>
    <n v="0.29359274412346897"/>
  </r>
  <r>
    <x v="55"/>
    <x v="16"/>
    <s v="CUST1226"/>
    <s v="Customer 1167"/>
    <x v="2"/>
    <s v="Pune"/>
    <x v="2"/>
    <x v="0"/>
    <n v="1"/>
    <n v="68065.789999999994"/>
    <n v="0.05"/>
    <x v="55"/>
    <n v="53368.27"/>
    <x v="55"/>
    <x v="1"/>
    <x v="2"/>
    <x v="1"/>
    <x v="0"/>
    <n v="1"/>
    <s v="Q1"/>
    <n v="0.17466429537985695"/>
  </r>
  <r>
    <x v="56"/>
    <x v="17"/>
    <s v="CUST1039"/>
    <s v="Customer 1126"/>
    <x v="2"/>
    <s v="Ahmedabad"/>
    <x v="9"/>
    <x v="0"/>
    <n v="3"/>
    <n v="6484.6"/>
    <n v="0.05"/>
    <x v="56"/>
    <n v="13319.4"/>
    <x v="56"/>
    <x v="1"/>
    <x v="3"/>
    <x v="0"/>
    <x v="0"/>
    <n v="1"/>
    <s v="Q1"/>
    <n v="0.27929653576002739"/>
  </r>
  <r>
    <x v="57"/>
    <x v="17"/>
    <s v="CUST1063"/>
    <s v="Customer 1239"/>
    <x v="1"/>
    <s v="Bengaluru"/>
    <x v="0"/>
    <x v="0"/>
    <n v="2"/>
    <n v="17436.05"/>
    <n v="0.1"/>
    <x v="57"/>
    <n v="22675.69"/>
    <x v="57"/>
    <x v="0"/>
    <x v="1"/>
    <x v="0"/>
    <x v="0"/>
    <n v="1"/>
    <s v="Q1"/>
    <n v="0.27749659151266742"/>
  </r>
  <r>
    <x v="58"/>
    <x v="17"/>
    <s v="CUST1200"/>
    <s v="Customer 1220"/>
    <x v="1"/>
    <s v="Chennai"/>
    <x v="6"/>
    <x v="2"/>
    <n v="3"/>
    <n v="1732.15"/>
    <n v="0"/>
    <x v="58"/>
    <n v="3532.16"/>
    <x v="58"/>
    <x v="0"/>
    <x v="1"/>
    <x v="2"/>
    <x v="0"/>
    <n v="1"/>
    <s v="Q1"/>
    <n v="0.32027441811236518"/>
  </r>
  <r>
    <x v="59"/>
    <x v="18"/>
    <s v="CUST1069"/>
    <s v="Customer 1215"/>
    <x v="3"/>
    <s v="Bhopal"/>
    <x v="5"/>
    <x v="3"/>
    <n v="1"/>
    <n v="311.97000000000003"/>
    <n v="0.02"/>
    <x v="59"/>
    <n v="238.78"/>
    <x v="59"/>
    <x v="1"/>
    <x v="0"/>
    <x v="0"/>
    <x v="0"/>
    <n v="1"/>
    <s v="Q1"/>
    <n v="0.21898407091224281"/>
  </r>
  <r>
    <x v="60"/>
    <x v="18"/>
    <s v="CUST1046"/>
    <s v="Customer 1193"/>
    <x v="0"/>
    <s v="Patna"/>
    <x v="11"/>
    <x v="4"/>
    <n v="2"/>
    <n v="1254.98"/>
    <n v="0.02"/>
    <x v="60"/>
    <n v="1599.12"/>
    <x v="60"/>
    <x v="1"/>
    <x v="2"/>
    <x v="0"/>
    <x v="0"/>
    <n v="1"/>
    <s v="Q1"/>
    <n v="0.34988779393111519"/>
  </r>
  <r>
    <x v="61"/>
    <x v="19"/>
    <s v="CUST1090"/>
    <s v="Customer 1296"/>
    <x v="1"/>
    <s v="Hyderabad"/>
    <x v="11"/>
    <x v="4"/>
    <n v="2"/>
    <n v="1061.95"/>
    <n v="0.15"/>
    <x v="61"/>
    <n v="1544.55"/>
    <x v="61"/>
    <x v="0"/>
    <x v="3"/>
    <x v="0"/>
    <x v="0"/>
    <n v="1"/>
    <s v="Q1"/>
    <n v="0.14444530609531828"/>
  </r>
  <r>
    <x v="62"/>
    <x v="19"/>
    <s v="CUST1107"/>
    <s v="Customer 1117"/>
    <x v="2"/>
    <s v="Ahmedabad"/>
    <x v="3"/>
    <x v="2"/>
    <n v="3"/>
    <n v="1217.8599999999999"/>
    <n v="0.02"/>
    <x v="62"/>
    <n v="2944.89"/>
    <x v="62"/>
    <x v="0"/>
    <x v="0"/>
    <x v="2"/>
    <x v="0"/>
    <n v="1"/>
    <s v="Q1"/>
    <n v="0.17752219655859081"/>
  </r>
  <r>
    <x v="63"/>
    <x v="19"/>
    <s v="CUST1082"/>
    <s v="Customer 1069"/>
    <x v="3"/>
    <s v="Bhopal"/>
    <x v="6"/>
    <x v="2"/>
    <n v="3"/>
    <n v="1988.86"/>
    <n v="0"/>
    <x v="63"/>
    <n v="4466.37"/>
    <x v="63"/>
    <x v="1"/>
    <x v="2"/>
    <x v="0"/>
    <x v="0"/>
    <n v="1"/>
    <s v="Q1"/>
    <n v="0.2514354957111109"/>
  </r>
  <r>
    <x v="64"/>
    <x v="20"/>
    <s v="CUST1238"/>
    <s v="Customer 1158"/>
    <x v="3"/>
    <s v="Indore"/>
    <x v="9"/>
    <x v="0"/>
    <n v="1"/>
    <n v="5671.77"/>
    <n v="0.1"/>
    <x v="64"/>
    <n v="4266.83"/>
    <x v="64"/>
    <x v="0"/>
    <x v="3"/>
    <x v="2"/>
    <x v="0"/>
    <n v="1"/>
    <s v="Q1"/>
    <n v="0.16411895960302395"/>
  </r>
  <r>
    <x v="65"/>
    <x v="20"/>
    <s v="CUST1213"/>
    <s v="Customer 1149"/>
    <x v="0"/>
    <s v="Patna"/>
    <x v="0"/>
    <x v="0"/>
    <n v="1"/>
    <n v="11935.06"/>
    <n v="0.1"/>
    <x v="65"/>
    <n v="10455.870000000001"/>
    <x v="65"/>
    <x v="0"/>
    <x v="0"/>
    <x v="2"/>
    <x v="0"/>
    <n v="1"/>
    <s v="Q1"/>
    <n v="2.6595789248292846E-2"/>
  </r>
  <r>
    <x v="66"/>
    <x v="20"/>
    <s v="CUST1120"/>
    <s v="Customer 1210"/>
    <x v="2"/>
    <s v="Ahmedabad"/>
    <x v="2"/>
    <x v="0"/>
    <n v="1"/>
    <n v="70419.69"/>
    <n v="0.02"/>
    <x v="66"/>
    <n v="52330.93"/>
    <x v="66"/>
    <x v="0"/>
    <x v="3"/>
    <x v="2"/>
    <x v="0"/>
    <n v="1"/>
    <s v="Q1"/>
    <n v="0.24170490919603019"/>
  </r>
  <r>
    <x v="67"/>
    <x v="21"/>
    <s v="CUST1155"/>
    <s v="Customer 1186"/>
    <x v="1"/>
    <s v="Chennai"/>
    <x v="3"/>
    <x v="2"/>
    <n v="2"/>
    <n v="1282.31"/>
    <n v="0.1"/>
    <x v="67"/>
    <n v="1795.67"/>
    <x v="67"/>
    <x v="1"/>
    <x v="3"/>
    <x v="0"/>
    <x v="0"/>
    <n v="1"/>
    <s v="Q1"/>
    <n v="0.22203400110910856"/>
  </r>
  <r>
    <x v="68"/>
    <x v="21"/>
    <s v="CUST1109"/>
    <s v="Customer 1107"/>
    <x v="2"/>
    <s v="Mumbai"/>
    <x v="2"/>
    <x v="0"/>
    <n v="4"/>
    <n v="68767.149999999994"/>
    <n v="0"/>
    <x v="68"/>
    <n v="188755.38"/>
    <x v="68"/>
    <x v="1"/>
    <x v="0"/>
    <x v="1"/>
    <x v="0"/>
    <n v="1"/>
    <s v="Q1"/>
    <n v="0.31378797870785691"/>
  </r>
  <r>
    <x v="69"/>
    <x v="22"/>
    <s v="CUST1234"/>
    <s v="Customer 1175"/>
    <x v="0"/>
    <s v="Bhubaneswar"/>
    <x v="11"/>
    <x v="4"/>
    <n v="2"/>
    <n v="779.69"/>
    <n v="0"/>
    <x v="69"/>
    <n v="982.15"/>
    <x v="69"/>
    <x v="0"/>
    <x v="3"/>
    <x v="0"/>
    <x v="0"/>
    <n v="1"/>
    <s v="Q1"/>
    <n v="0.37016634816401389"/>
  </r>
  <r>
    <x v="70"/>
    <x v="22"/>
    <s v="CUST1083"/>
    <s v="Customer 1185"/>
    <x v="0"/>
    <s v="Patna"/>
    <x v="11"/>
    <x v="4"/>
    <n v="1"/>
    <n v="1073.46"/>
    <n v="0"/>
    <x v="70"/>
    <n v="931.08"/>
    <x v="70"/>
    <x v="1"/>
    <x v="4"/>
    <x v="2"/>
    <x v="0"/>
    <n v="1"/>
    <s v="Q1"/>
    <n v="0.13263652115588842"/>
  </r>
  <r>
    <x v="71"/>
    <x v="23"/>
    <s v="CUST1053"/>
    <s v="Customer 1151"/>
    <x v="2"/>
    <s v="Pune"/>
    <x v="8"/>
    <x v="0"/>
    <n v="4"/>
    <n v="21042.2"/>
    <n v="0.15"/>
    <x v="71"/>
    <n v="54191.5"/>
    <x v="71"/>
    <x v="0"/>
    <x v="0"/>
    <x v="2"/>
    <x v="0"/>
    <n v="1"/>
    <s v="Q1"/>
    <n v="0.24253754500060662"/>
  </r>
  <r>
    <x v="72"/>
    <x v="23"/>
    <s v="CUST1160"/>
    <s v="Customer 1084"/>
    <x v="3"/>
    <s v="Indore"/>
    <x v="5"/>
    <x v="3"/>
    <n v="2"/>
    <n v="382.11"/>
    <n v="0.1"/>
    <x v="72"/>
    <n v="585.22"/>
    <x v="72"/>
    <x v="0"/>
    <x v="4"/>
    <x v="1"/>
    <x v="0"/>
    <n v="1"/>
    <s v="Q1"/>
    <n v="0.14914219249781915"/>
  </r>
  <r>
    <x v="73"/>
    <x v="23"/>
    <s v="CUST1143"/>
    <s v="Customer 1245"/>
    <x v="1"/>
    <s v="Chennai"/>
    <x v="1"/>
    <x v="1"/>
    <n v="2"/>
    <n v="9329.36"/>
    <n v="0.15"/>
    <x v="73"/>
    <n v="14867.49"/>
    <x v="73"/>
    <x v="1"/>
    <x v="0"/>
    <x v="2"/>
    <x v="0"/>
    <n v="1"/>
    <s v="Q1"/>
    <n v="6.2574125578266207E-2"/>
  </r>
  <r>
    <x v="74"/>
    <x v="23"/>
    <s v="CUST1141"/>
    <s v="Customer 1117"/>
    <x v="4"/>
    <s v="Lucknow"/>
    <x v="2"/>
    <x v="0"/>
    <n v="3"/>
    <n v="67125.06"/>
    <n v="0.15"/>
    <x v="74"/>
    <n v="141477.78"/>
    <x v="74"/>
    <x v="0"/>
    <x v="3"/>
    <x v="1"/>
    <x v="0"/>
    <n v="1"/>
    <s v="Q1"/>
    <n v="0.17346094997397307"/>
  </r>
  <r>
    <x v="75"/>
    <x v="23"/>
    <s v="CUST1183"/>
    <s v="Customer 1168"/>
    <x v="1"/>
    <s v="Bengaluru"/>
    <x v="10"/>
    <x v="0"/>
    <n v="3"/>
    <n v="50816.86"/>
    <n v="0.15"/>
    <x v="75"/>
    <n v="109355.78"/>
    <x v="75"/>
    <x v="1"/>
    <x v="2"/>
    <x v="1"/>
    <x v="0"/>
    <n v="1"/>
    <s v="Q1"/>
    <n v="0.15609463865589149"/>
  </r>
  <r>
    <x v="76"/>
    <x v="23"/>
    <s v="CUST1267"/>
    <s v="Customer 1181"/>
    <x v="4"/>
    <s v="Delhi"/>
    <x v="3"/>
    <x v="2"/>
    <n v="4"/>
    <n v="1170.75"/>
    <n v="0.02"/>
    <x v="76"/>
    <n v="3994.5"/>
    <x v="76"/>
    <x v="0"/>
    <x v="4"/>
    <x v="2"/>
    <x v="0"/>
    <n v="1"/>
    <s v="Q1"/>
    <n v="0.12961340846396213"/>
  </r>
  <r>
    <x v="77"/>
    <x v="23"/>
    <s v="CUST1145"/>
    <s v="Customer 1013"/>
    <x v="3"/>
    <s v="Bhopal"/>
    <x v="4"/>
    <x v="1"/>
    <n v="4"/>
    <n v="9187.0300000000007"/>
    <n v="0.02"/>
    <x v="77"/>
    <n v="27898.7"/>
    <x v="77"/>
    <x v="0"/>
    <x v="0"/>
    <x v="1"/>
    <x v="0"/>
    <n v="1"/>
    <s v="Q1"/>
    <n v="0.22531929994479793"/>
  </r>
  <r>
    <x v="78"/>
    <x v="23"/>
    <s v="CUST1058"/>
    <s v="Customer 1297"/>
    <x v="4"/>
    <s v="Lucknow"/>
    <x v="8"/>
    <x v="0"/>
    <n v="2"/>
    <n v="14487.99"/>
    <n v="0.1"/>
    <x v="78"/>
    <n v="22480.080000000002"/>
    <x v="78"/>
    <x v="0"/>
    <x v="1"/>
    <x v="0"/>
    <x v="0"/>
    <n v="1"/>
    <s v="Q1"/>
    <n v="0.13798019662264296"/>
  </r>
  <r>
    <x v="79"/>
    <x v="24"/>
    <s v="CUST1151"/>
    <s v="Customer 1221"/>
    <x v="2"/>
    <s v="Ahmedabad"/>
    <x v="8"/>
    <x v="0"/>
    <n v="1"/>
    <n v="24885.47"/>
    <n v="0.1"/>
    <x v="79"/>
    <n v="16889.900000000001"/>
    <x v="79"/>
    <x v="1"/>
    <x v="3"/>
    <x v="0"/>
    <x v="0"/>
    <n v="1"/>
    <s v="Q1"/>
    <n v="0.24588291604381321"/>
  </r>
  <r>
    <x v="80"/>
    <x v="25"/>
    <s v="CUST1035"/>
    <s v="Customer 1125"/>
    <x v="1"/>
    <s v="Bengaluru"/>
    <x v="3"/>
    <x v="2"/>
    <n v="1"/>
    <n v="830.29"/>
    <n v="0.02"/>
    <x v="80"/>
    <n v="539.23"/>
    <x v="80"/>
    <x v="0"/>
    <x v="0"/>
    <x v="1"/>
    <x v="0"/>
    <n v="1"/>
    <s v="Q1"/>
    <n v="0.33729475961065775"/>
  </r>
  <r>
    <x v="81"/>
    <x v="25"/>
    <s v="CUST1149"/>
    <s v="Customer 1028"/>
    <x v="3"/>
    <s v="Nagpur"/>
    <x v="10"/>
    <x v="0"/>
    <n v="4"/>
    <n v="32605.17"/>
    <n v="0.1"/>
    <x v="81"/>
    <n v="105906.2"/>
    <x v="81"/>
    <x v="0"/>
    <x v="0"/>
    <x v="0"/>
    <x v="0"/>
    <n v="1"/>
    <s v="Q1"/>
    <n v="9.7738506189500793E-2"/>
  </r>
  <r>
    <x v="82"/>
    <x v="26"/>
    <s v="CUST1271"/>
    <s v="Customer 1174"/>
    <x v="1"/>
    <s v="Chennai"/>
    <x v="9"/>
    <x v="0"/>
    <n v="3"/>
    <n v="2784.76"/>
    <n v="0.1"/>
    <x v="82"/>
    <n v="6828.35"/>
    <x v="82"/>
    <x v="1"/>
    <x v="3"/>
    <x v="0"/>
    <x v="0"/>
    <n v="1"/>
    <s v="Q1"/>
    <n v="9.1835852557239472E-2"/>
  </r>
  <r>
    <x v="83"/>
    <x v="26"/>
    <s v="CUST1202"/>
    <s v="Customer 1093"/>
    <x v="2"/>
    <s v="Mumbai"/>
    <x v="0"/>
    <x v="0"/>
    <n v="3"/>
    <n v="17136.5"/>
    <n v="0.02"/>
    <x v="83"/>
    <n v="33316.97"/>
    <x v="83"/>
    <x v="1"/>
    <x v="4"/>
    <x v="1"/>
    <x v="0"/>
    <n v="1"/>
    <s v="Q1"/>
    <n v="0.33870377725390627"/>
  </r>
  <r>
    <x v="84"/>
    <x v="27"/>
    <s v="CUST1057"/>
    <s v="Customer 1232"/>
    <x v="0"/>
    <s v="Bhubaneswar"/>
    <x v="0"/>
    <x v="0"/>
    <n v="1"/>
    <n v="20120.96"/>
    <n v="0.05"/>
    <x v="84"/>
    <n v="12871.01"/>
    <x v="84"/>
    <x v="0"/>
    <x v="1"/>
    <x v="1"/>
    <x v="0"/>
    <n v="1"/>
    <s v="Q1"/>
    <n v="0.32665076633894691"/>
  </r>
  <r>
    <x v="85"/>
    <x v="27"/>
    <s v="CUST1115"/>
    <s v="Customer 1090"/>
    <x v="4"/>
    <s v="Lucknow"/>
    <x v="1"/>
    <x v="1"/>
    <n v="4"/>
    <n v="8822.08"/>
    <n v="0.1"/>
    <x v="85"/>
    <n v="23863.31"/>
    <x v="85"/>
    <x v="0"/>
    <x v="1"/>
    <x v="2"/>
    <x v="0"/>
    <n v="1"/>
    <s v="Q1"/>
    <n v="0.2486242694703221"/>
  </r>
  <r>
    <x v="86"/>
    <x v="27"/>
    <s v="CUST1295"/>
    <s v="Customer 1108"/>
    <x v="3"/>
    <s v="Nagpur"/>
    <x v="1"/>
    <x v="1"/>
    <n v="3"/>
    <n v="11343.29"/>
    <n v="0.05"/>
    <x v="86"/>
    <n v="22439.57"/>
    <x v="86"/>
    <x v="1"/>
    <x v="0"/>
    <x v="0"/>
    <x v="0"/>
    <n v="1"/>
    <s v="Q1"/>
    <n v="0.30588634506275908"/>
  </r>
  <r>
    <x v="87"/>
    <x v="28"/>
    <s v="CUST1183"/>
    <s v="Customer 1023"/>
    <x v="3"/>
    <s v="Nagpur"/>
    <x v="7"/>
    <x v="4"/>
    <n v="1"/>
    <n v="1379.5"/>
    <n v="0"/>
    <x v="87"/>
    <n v="1127.74"/>
    <x v="87"/>
    <x v="0"/>
    <x v="2"/>
    <x v="1"/>
    <x v="0"/>
    <n v="1"/>
    <s v="Q1"/>
    <n v="0.18250090612540776"/>
  </r>
  <r>
    <x v="88"/>
    <x v="29"/>
    <s v="CUST1044"/>
    <s v="Customer 1165"/>
    <x v="1"/>
    <s v="Chennai"/>
    <x v="6"/>
    <x v="2"/>
    <n v="1"/>
    <n v="3065.62"/>
    <n v="0.02"/>
    <x v="88"/>
    <n v="2575.4499999999998"/>
    <x v="88"/>
    <x v="0"/>
    <x v="0"/>
    <x v="0"/>
    <x v="1"/>
    <n v="2"/>
    <s v="Q1"/>
    <n v="0.14274825167842201"/>
  </r>
  <r>
    <x v="89"/>
    <x v="30"/>
    <s v="CUST1096"/>
    <s v="Customer 1089"/>
    <x v="2"/>
    <s v="Ahmedabad"/>
    <x v="5"/>
    <x v="3"/>
    <n v="1"/>
    <n v="240.82"/>
    <n v="0.02"/>
    <x v="89"/>
    <n v="150.59"/>
    <x v="89"/>
    <x v="0"/>
    <x v="2"/>
    <x v="2"/>
    <x v="1"/>
    <n v="2"/>
    <s v="Q1"/>
    <n v="0.36190677966101692"/>
  </r>
  <r>
    <x v="90"/>
    <x v="30"/>
    <s v="CUST1110"/>
    <s v="Customer 1033"/>
    <x v="3"/>
    <s v="Nagpur"/>
    <x v="8"/>
    <x v="0"/>
    <n v="2"/>
    <n v="14762.65"/>
    <n v="0.02"/>
    <x v="90"/>
    <n v="24280.67"/>
    <x v="90"/>
    <x v="0"/>
    <x v="3"/>
    <x v="1"/>
    <x v="1"/>
    <n v="2"/>
    <s v="Q1"/>
    <n v="0.16084858400562091"/>
  </r>
  <r>
    <x v="91"/>
    <x v="31"/>
    <s v="CUST1206"/>
    <s v="Customer 1081"/>
    <x v="3"/>
    <s v="Bhopal"/>
    <x v="8"/>
    <x v="0"/>
    <n v="2"/>
    <n v="14061.53"/>
    <n v="0.1"/>
    <x v="91"/>
    <n v="21057.03"/>
    <x v="91"/>
    <x v="0"/>
    <x v="2"/>
    <x v="1"/>
    <x v="1"/>
    <n v="2"/>
    <s v="Q1"/>
    <n v="0.16805981648113943"/>
  </r>
  <r>
    <x v="92"/>
    <x v="31"/>
    <s v="CUST1001"/>
    <s v="Customer 1296"/>
    <x v="2"/>
    <s v="Pune"/>
    <x v="7"/>
    <x v="4"/>
    <n v="1"/>
    <n v="2773.34"/>
    <n v="0.02"/>
    <x v="92"/>
    <n v="1850.15"/>
    <x v="92"/>
    <x v="0"/>
    <x v="4"/>
    <x v="0"/>
    <x v="1"/>
    <n v="2"/>
    <s v="Q1"/>
    <n v="0.31926471832721948"/>
  </r>
  <r>
    <x v="93"/>
    <x v="32"/>
    <s v="CUST1213"/>
    <s v="Customer 1106"/>
    <x v="4"/>
    <s v="Jaipur"/>
    <x v="5"/>
    <x v="3"/>
    <n v="1"/>
    <n v="122.03"/>
    <n v="0.1"/>
    <x v="93"/>
    <n v="96.5"/>
    <x v="93"/>
    <x v="0"/>
    <x v="4"/>
    <x v="2"/>
    <x v="1"/>
    <n v="2"/>
    <s v="Q1"/>
    <n v="0.12136938905581353"/>
  </r>
  <r>
    <x v="94"/>
    <x v="33"/>
    <s v="CUST1048"/>
    <s v="Customer 1183"/>
    <x v="2"/>
    <s v="Ahmedabad"/>
    <x v="2"/>
    <x v="0"/>
    <n v="3"/>
    <n v="55106.98"/>
    <n v="0.15"/>
    <x v="94"/>
    <n v="142402.04999999999"/>
    <x v="94"/>
    <x v="1"/>
    <x v="0"/>
    <x v="2"/>
    <x v="1"/>
    <n v="2"/>
    <s v="Q1"/>
    <n v="-1.3373274657208653E-2"/>
  </r>
  <r>
    <x v="95"/>
    <x v="33"/>
    <s v="CUST1131"/>
    <s v="Customer 1255"/>
    <x v="0"/>
    <s v="Kolkata"/>
    <x v="10"/>
    <x v="0"/>
    <n v="4"/>
    <n v="53157.81"/>
    <n v="0.02"/>
    <x v="95"/>
    <n v="165168.46"/>
    <x v="95"/>
    <x v="0"/>
    <x v="2"/>
    <x v="2"/>
    <x v="1"/>
    <n v="2"/>
    <s v="Q1"/>
    <n v="0.20736369211006389"/>
  </r>
  <r>
    <x v="96"/>
    <x v="33"/>
    <s v="CUST1097"/>
    <s v="Customer 1289"/>
    <x v="2"/>
    <s v="Ahmedabad"/>
    <x v="2"/>
    <x v="0"/>
    <n v="4"/>
    <n v="65669.22"/>
    <n v="0.05"/>
    <x v="96"/>
    <n v="216717.69"/>
    <x v="96"/>
    <x v="0"/>
    <x v="4"/>
    <x v="1"/>
    <x v="1"/>
    <n v="2"/>
    <s v="Q1"/>
    <n v="0.13154183743213194"/>
  </r>
  <r>
    <x v="97"/>
    <x v="33"/>
    <s v="CUST1169"/>
    <s v="Customer 1283"/>
    <x v="2"/>
    <s v="Pune"/>
    <x v="4"/>
    <x v="1"/>
    <n v="1"/>
    <n v="10932.12"/>
    <n v="0.15"/>
    <x v="97"/>
    <n v="8224.99"/>
    <x v="97"/>
    <x v="1"/>
    <x v="3"/>
    <x v="0"/>
    <x v="1"/>
    <n v="2"/>
    <s v="Q1"/>
    <n v="0.11485961495001237"/>
  </r>
  <r>
    <x v="98"/>
    <x v="33"/>
    <s v="CUST1025"/>
    <s v="Customer 1059"/>
    <x v="1"/>
    <s v="Bengaluru"/>
    <x v="7"/>
    <x v="4"/>
    <n v="1"/>
    <n v="1055.3"/>
    <n v="0"/>
    <x v="98"/>
    <n v="820.56"/>
    <x v="98"/>
    <x v="0"/>
    <x v="0"/>
    <x v="0"/>
    <x v="1"/>
    <n v="2"/>
    <s v="Q1"/>
    <n v="0.22243911683881362"/>
  </r>
  <r>
    <x v="99"/>
    <x v="33"/>
    <s v="CUST1094"/>
    <s v="Customer 1095"/>
    <x v="1"/>
    <s v="Bengaluru"/>
    <x v="7"/>
    <x v="4"/>
    <n v="1"/>
    <n v="807.32"/>
    <n v="0.05"/>
    <x v="99"/>
    <n v="599.86"/>
    <x v="99"/>
    <x v="1"/>
    <x v="3"/>
    <x v="1"/>
    <x v="1"/>
    <n v="2"/>
    <s v="Q1"/>
    <n v="0.21786296368733293"/>
  </r>
  <r>
    <x v="100"/>
    <x v="34"/>
    <s v="CUST1223"/>
    <s v="Customer 1184"/>
    <x v="1"/>
    <s v="Hyderabad"/>
    <x v="3"/>
    <x v="2"/>
    <n v="1"/>
    <n v="320.86"/>
    <n v="0.02"/>
    <x v="100"/>
    <n v="280.11"/>
    <x v="100"/>
    <x v="1"/>
    <x v="1"/>
    <x v="1"/>
    <x v="1"/>
    <n v="2"/>
    <s v="Q1"/>
    <n v="0.1091782216003053"/>
  </r>
  <r>
    <x v="101"/>
    <x v="34"/>
    <s v="CUST1039"/>
    <s v="Customer 1132"/>
    <x v="2"/>
    <s v="Mumbai"/>
    <x v="9"/>
    <x v="0"/>
    <n v="1"/>
    <n v="2229.83"/>
    <n v="0.1"/>
    <x v="101"/>
    <n v="1738.7"/>
    <x v="101"/>
    <x v="0"/>
    <x v="1"/>
    <x v="1"/>
    <x v="1"/>
    <n v="2"/>
    <s v="Q1"/>
    <n v="0.13361736054014997"/>
  </r>
  <r>
    <x v="102"/>
    <x v="35"/>
    <s v="CUST1229"/>
    <s v="Customer 1036"/>
    <x v="0"/>
    <s v="Bhubaneswar"/>
    <x v="1"/>
    <x v="1"/>
    <n v="4"/>
    <n v="14761.19"/>
    <n v="0.05"/>
    <x v="102"/>
    <n v="44659.86"/>
    <x v="102"/>
    <x v="0"/>
    <x v="2"/>
    <x v="2"/>
    <x v="1"/>
    <n v="2"/>
    <s v="Q1"/>
    <n v="0.20381790655866416"/>
  </r>
  <r>
    <x v="103"/>
    <x v="35"/>
    <s v="CUST1109"/>
    <s v="Customer 1074"/>
    <x v="1"/>
    <s v="Chennai"/>
    <x v="5"/>
    <x v="3"/>
    <n v="3"/>
    <n v="137.81"/>
    <n v="0.1"/>
    <x v="103"/>
    <n v="294.55"/>
    <x v="103"/>
    <x v="0"/>
    <x v="2"/>
    <x v="0"/>
    <x v="1"/>
    <n v="2"/>
    <s v="Q1"/>
    <n v="0.20839044317235081"/>
  </r>
  <r>
    <x v="104"/>
    <x v="36"/>
    <s v="CUST1147"/>
    <s v="Customer 1112"/>
    <x v="2"/>
    <s v="Ahmedabad"/>
    <x v="6"/>
    <x v="2"/>
    <n v="1"/>
    <n v="3211.11"/>
    <n v="0.1"/>
    <x v="104"/>
    <n v="2161.59"/>
    <x v="104"/>
    <x v="1"/>
    <x v="4"/>
    <x v="1"/>
    <x v="1"/>
    <n v="2"/>
    <s v="Q1"/>
    <n v="0.25204498269896192"/>
  </r>
  <r>
    <x v="105"/>
    <x v="36"/>
    <s v="CUST1120"/>
    <s v="Customer 1097"/>
    <x v="1"/>
    <s v="Bengaluru"/>
    <x v="3"/>
    <x v="2"/>
    <n v="2"/>
    <n v="366.89"/>
    <n v="0.05"/>
    <x v="105"/>
    <n v="471.56"/>
    <x v="105"/>
    <x v="1"/>
    <x v="3"/>
    <x v="0"/>
    <x v="1"/>
    <n v="2"/>
    <s v="Q1"/>
    <n v="0.32353067753087833"/>
  </r>
  <r>
    <x v="106"/>
    <x v="36"/>
    <s v="CUST1157"/>
    <s v="Customer 1015"/>
    <x v="3"/>
    <s v="Nagpur"/>
    <x v="10"/>
    <x v="0"/>
    <n v="1"/>
    <n v="37968.61"/>
    <n v="0"/>
    <x v="106"/>
    <n v="26313.88"/>
    <x v="106"/>
    <x v="1"/>
    <x v="0"/>
    <x v="0"/>
    <x v="1"/>
    <n v="2"/>
    <s v="Q1"/>
    <n v="0.30695698367677932"/>
  </r>
  <r>
    <x v="107"/>
    <x v="36"/>
    <s v="CUST1254"/>
    <s v="Customer 1007"/>
    <x v="0"/>
    <s v="Kolkata"/>
    <x v="2"/>
    <x v="0"/>
    <n v="2"/>
    <n v="58797.05"/>
    <n v="0.15"/>
    <x v="107"/>
    <n v="94961.32"/>
    <x v="107"/>
    <x v="1"/>
    <x v="3"/>
    <x v="0"/>
    <x v="1"/>
    <n v="2"/>
    <s v="Q1"/>
    <n v="4.9959186629902119E-2"/>
  </r>
  <r>
    <x v="108"/>
    <x v="37"/>
    <s v="CUST1212"/>
    <s v="Customer 1101"/>
    <x v="3"/>
    <s v="Bhopal"/>
    <x v="4"/>
    <x v="1"/>
    <n v="1"/>
    <n v="8670.7800000000007"/>
    <n v="0.15"/>
    <x v="108"/>
    <n v="7352.12"/>
    <x v="108"/>
    <x v="1"/>
    <x v="2"/>
    <x v="0"/>
    <x v="1"/>
    <n v="2"/>
    <s v="Q1"/>
    <n v="2.4477080551846908E-3"/>
  </r>
  <r>
    <x v="109"/>
    <x v="37"/>
    <s v="CUST1021"/>
    <s v="Customer 1042"/>
    <x v="2"/>
    <s v="Pune"/>
    <x v="1"/>
    <x v="1"/>
    <n v="2"/>
    <n v="13728.23"/>
    <n v="0.1"/>
    <x v="109"/>
    <n v="23159.17"/>
    <x v="109"/>
    <x v="1"/>
    <x v="0"/>
    <x v="0"/>
    <x v="1"/>
    <n v="2"/>
    <s v="Q1"/>
    <n v="6.279195218610803E-2"/>
  </r>
  <r>
    <x v="110"/>
    <x v="38"/>
    <s v="CUST1028"/>
    <s v="Customer 1260"/>
    <x v="2"/>
    <s v="Mumbai"/>
    <x v="5"/>
    <x v="3"/>
    <n v="4"/>
    <n v="207.63"/>
    <n v="0.1"/>
    <x v="110"/>
    <n v="730.62"/>
    <x v="110"/>
    <x v="0"/>
    <x v="3"/>
    <x v="2"/>
    <x v="1"/>
    <n v="2"/>
    <s v="Q1"/>
    <n v="2.2542710744243917E-2"/>
  </r>
  <r>
    <x v="111"/>
    <x v="38"/>
    <s v="CUST1074"/>
    <s v="Customer 1278"/>
    <x v="1"/>
    <s v="Bengaluru"/>
    <x v="9"/>
    <x v="0"/>
    <n v="4"/>
    <n v="6026.54"/>
    <n v="0.1"/>
    <x v="111"/>
    <n v="18207"/>
    <x v="111"/>
    <x v="0"/>
    <x v="2"/>
    <x v="1"/>
    <x v="1"/>
    <n v="2"/>
    <s v="Q1"/>
    <n v="0.16079526022399074"/>
  </r>
  <r>
    <x v="112"/>
    <x v="38"/>
    <s v="CUST1078"/>
    <s v="Customer 1289"/>
    <x v="1"/>
    <s v="Hyderabad"/>
    <x v="8"/>
    <x v="0"/>
    <n v="2"/>
    <n v="25510.32"/>
    <n v="0.02"/>
    <x v="112"/>
    <n v="31845.86"/>
    <x v="112"/>
    <x v="0"/>
    <x v="2"/>
    <x v="0"/>
    <x v="1"/>
    <n v="2"/>
    <s v="Q1"/>
    <n v="0.36308572980564285"/>
  </r>
  <r>
    <x v="113"/>
    <x v="39"/>
    <s v="CUST1264"/>
    <s v="Customer 1071"/>
    <x v="2"/>
    <s v="Mumbai"/>
    <x v="10"/>
    <x v="0"/>
    <n v="3"/>
    <n v="38610.5"/>
    <n v="0.05"/>
    <x v="113"/>
    <n v="79716.3"/>
    <x v="113"/>
    <x v="0"/>
    <x v="4"/>
    <x v="2"/>
    <x v="1"/>
    <n v="2"/>
    <s v="Q1"/>
    <n v="0.27556926613541705"/>
  </r>
  <r>
    <x v="114"/>
    <x v="39"/>
    <s v="CUST1062"/>
    <s v="Customer 1134"/>
    <x v="2"/>
    <s v="Mumbai"/>
    <x v="4"/>
    <x v="1"/>
    <n v="3"/>
    <n v="8766.77"/>
    <n v="0.1"/>
    <x v="114"/>
    <n v="22663.54"/>
    <x v="114"/>
    <x v="0"/>
    <x v="4"/>
    <x v="1"/>
    <x v="1"/>
    <n v="2"/>
    <s v="Q1"/>
    <n v="4.2531816269178062E-2"/>
  </r>
  <r>
    <x v="115"/>
    <x v="40"/>
    <s v="CUST1044"/>
    <s v="Customer 1278"/>
    <x v="0"/>
    <s v="Patna"/>
    <x v="10"/>
    <x v="0"/>
    <n v="2"/>
    <n v="33443.17"/>
    <n v="0.1"/>
    <x v="115"/>
    <n v="43096.57"/>
    <x v="115"/>
    <x v="1"/>
    <x v="1"/>
    <x v="1"/>
    <x v="1"/>
    <n v="2"/>
    <s v="Q1"/>
    <n v="0.2840828994990009"/>
  </r>
  <r>
    <x v="116"/>
    <x v="40"/>
    <s v="CUST1015"/>
    <s v="Customer 1153"/>
    <x v="0"/>
    <s v="Kolkata"/>
    <x v="5"/>
    <x v="3"/>
    <n v="2"/>
    <n v="90.41"/>
    <n v="0.02"/>
    <x v="116"/>
    <n v="141.1"/>
    <x v="116"/>
    <x v="0"/>
    <x v="0"/>
    <x v="1"/>
    <x v="1"/>
    <n v="2"/>
    <s v="Q1"/>
    <n v="0.20372460496613998"/>
  </r>
  <r>
    <x v="117"/>
    <x v="40"/>
    <s v="CUST1119"/>
    <s v="Customer 1019"/>
    <x v="3"/>
    <s v="Nagpur"/>
    <x v="11"/>
    <x v="4"/>
    <n v="1"/>
    <n v="1344.3"/>
    <n v="0"/>
    <x v="117"/>
    <n v="1155.1199999999999"/>
    <x v="117"/>
    <x v="1"/>
    <x v="4"/>
    <x v="1"/>
    <x v="1"/>
    <n v="2"/>
    <s v="Q1"/>
    <n v="0.14072751617942425"/>
  </r>
  <r>
    <x v="118"/>
    <x v="40"/>
    <s v="CUST1038"/>
    <s v="Customer 1142"/>
    <x v="1"/>
    <s v="Hyderabad"/>
    <x v="2"/>
    <x v="0"/>
    <n v="1"/>
    <n v="72484.53"/>
    <n v="0.05"/>
    <x v="118"/>
    <n v="47032.11"/>
    <x v="118"/>
    <x v="0"/>
    <x v="3"/>
    <x v="1"/>
    <x v="1"/>
    <n v="2"/>
    <s v="Q1"/>
    <n v="0.31699237441602779"/>
  </r>
  <r>
    <x v="119"/>
    <x v="41"/>
    <s v="CUST1107"/>
    <s v="Customer 1108"/>
    <x v="4"/>
    <s v="Jaipur"/>
    <x v="2"/>
    <x v="0"/>
    <n v="2"/>
    <n v="57298.13"/>
    <n v="0.02"/>
    <x v="119"/>
    <n v="86007.03"/>
    <x v="119"/>
    <x v="1"/>
    <x v="3"/>
    <x v="2"/>
    <x v="1"/>
    <n v="2"/>
    <s v="Q1"/>
    <n v="0.23416105149284983"/>
  </r>
  <r>
    <x v="120"/>
    <x v="41"/>
    <s v="CUST1001"/>
    <s v="Customer 1090"/>
    <x v="1"/>
    <s v="Chennai"/>
    <x v="8"/>
    <x v="0"/>
    <n v="1"/>
    <n v="17934.169999999998"/>
    <n v="0.1"/>
    <x v="120"/>
    <n v="12249.51"/>
    <x v="120"/>
    <x v="0"/>
    <x v="3"/>
    <x v="1"/>
    <x v="1"/>
    <n v="2"/>
    <s v="Q1"/>
    <n v="0.24108173412016168"/>
  </r>
  <r>
    <x v="121"/>
    <x v="42"/>
    <s v="CUST1078"/>
    <s v="Customer 1030"/>
    <x v="2"/>
    <s v="Mumbai"/>
    <x v="10"/>
    <x v="0"/>
    <n v="1"/>
    <n v="51765.62"/>
    <n v="0.1"/>
    <x v="121"/>
    <n v="42262.16"/>
    <x v="121"/>
    <x v="1"/>
    <x v="4"/>
    <x v="0"/>
    <x v="1"/>
    <n v="2"/>
    <s v="Q1"/>
    <n v="9.287373473515026E-2"/>
  </r>
  <r>
    <x v="122"/>
    <x v="42"/>
    <s v="CUST1097"/>
    <s v="Customer 1095"/>
    <x v="0"/>
    <s v="Kolkata"/>
    <x v="5"/>
    <x v="3"/>
    <n v="2"/>
    <n v="148.41999999999999"/>
    <n v="0"/>
    <x v="122"/>
    <n v="236.76"/>
    <x v="122"/>
    <x v="0"/>
    <x v="2"/>
    <x v="1"/>
    <x v="1"/>
    <n v="2"/>
    <s v="Q1"/>
    <n v="0.2023985985716211"/>
  </r>
  <r>
    <x v="123"/>
    <x v="42"/>
    <s v="CUST1130"/>
    <s v="Customer 1293"/>
    <x v="0"/>
    <s v="Bhubaneswar"/>
    <x v="7"/>
    <x v="4"/>
    <n v="4"/>
    <n v="1069.3599999999999"/>
    <n v="0"/>
    <x v="123"/>
    <n v="3393.28"/>
    <x v="123"/>
    <x v="1"/>
    <x v="4"/>
    <x v="1"/>
    <x v="1"/>
    <n v="2"/>
    <s v="Q1"/>
    <n v="0.20670307473629088"/>
  </r>
  <r>
    <x v="124"/>
    <x v="42"/>
    <s v="CUST1126"/>
    <s v="Customer 1239"/>
    <x v="4"/>
    <s v="Jaipur"/>
    <x v="10"/>
    <x v="0"/>
    <n v="1"/>
    <n v="48478.55"/>
    <n v="0"/>
    <x v="124"/>
    <n v="31997.32"/>
    <x v="124"/>
    <x v="1"/>
    <x v="3"/>
    <x v="0"/>
    <x v="1"/>
    <n v="2"/>
    <s v="Q1"/>
    <n v="0.3399695329171355"/>
  </r>
  <r>
    <x v="125"/>
    <x v="43"/>
    <s v="CUST1292"/>
    <s v="Customer 1078"/>
    <x v="2"/>
    <s v="Mumbai"/>
    <x v="1"/>
    <x v="1"/>
    <n v="1"/>
    <n v="13230.68"/>
    <n v="0"/>
    <x v="125"/>
    <n v="9516.89"/>
    <x v="125"/>
    <x v="1"/>
    <x v="0"/>
    <x v="0"/>
    <x v="1"/>
    <n v="2"/>
    <s v="Q1"/>
    <n v="0.28069532329404079"/>
  </r>
  <r>
    <x v="126"/>
    <x v="43"/>
    <s v="CUST1265"/>
    <s v="Customer 1145"/>
    <x v="3"/>
    <s v="Nagpur"/>
    <x v="5"/>
    <x v="3"/>
    <n v="3"/>
    <n v="387.65"/>
    <n v="0.15"/>
    <x v="126"/>
    <n v="952.6"/>
    <x v="126"/>
    <x v="1"/>
    <x v="2"/>
    <x v="0"/>
    <x v="1"/>
    <n v="2"/>
    <s v="Q1"/>
    <n v="3.6327401847224605E-2"/>
  </r>
  <r>
    <x v="127"/>
    <x v="43"/>
    <s v="CUST1173"/>
    <s v="Customer 1082"/>
    <x v="2"/>
    <s v="Ahmedabad"/>
    <x v="0"/>
    <x v="0"/>
    <n v="4"/>
    <n v="17889.3"/>
    <n v="0.1"/>
    <x v="127"/>
    <n v="54516.01"/>
    <x v="127"/>
    <x v="0"/>
    <x v="3"/>
    <x v="0"/>
    <x v="1"/>
    <n v="2"/>
    <s v="Q1"/>
    <n v="0.15349755937285911"/>
  </r>
  <r>
    <x v="128"/>
    <x v="44"/>
    <s v="CUST1019"/>
    <s v="Customer 1214"/>
    <x v="4"/>
    <s v="Delhi"/>
    <x v="0"/>
    <x v="0"/>
    <n v="2"/>
    <n v="20047.75"/>
    <n v="0.05"/>
    <x v="128"/>
    <n v="28568.94"/>
    <x v="128"/>
    <x v="1"/>
    <x v="1"/>
    <x v="1"/>
    <x v="1"/>
    <n v="2"/>
    <s v="Q1"/>
    <n v="0.24997637219774266"/>
  </r>
  <r>
    <x v="129"/>
    <x v="45"/>
    <s v="CUST1292"/>
    <s v="Customer 1081"/>
    <x v="4"/>
    <s v="Lucknow"/>
    <x v="7"/>
    <x v="4"/>
    <n v="1"/>
    <n v="2312.25"/>
    <n v="0"/>
    <x v="129"/>
    <n v="1859.53"/>
    <x v="129"/>
    <x v="1"/>
    <x v="2"/>
    <x v="2"/>
    <x v="1"/>
    <n v="2"/>
    <s v="Q1"/>
    <n v="0.19579197751108229"/>
  </r>
  <r>
    <x v="130"/>
    <x v="45"/>
    <s v="CUST1216"/>
    <s v="Customer 1176"/>
    <x v="4"/>
    <s v="Jaipur"/>
    <x v="10"/>
    <x v="0"/>
    <n v="1"/>
    <n v="44954.28"/>
    <n v="0.15"/>
    <x v="130"/>
    <n v="32812.25"/>
    <x v="130"/>
    <x v="0"/>
    <x v="3"/>
    <x v="1"/>
    <x v="1"/>
    <n v="2"/>
    <s v="Q1"/>
    <n v="0.1412909952437954"/>
  </r>
  <r>
    <x v="131"/>
    <x v="45"/>
    <s v="CUST1210"/>
    <s v="Customer 1126"/>
    <x v="2"/>
    <s v="Ahmedabad"/>
    <x v="2"/>
    <x v="0"/>
    <n v="3"/>
    <n v="73236.37"/>
    <n v="0.1"/>
    <x v="131"/>
    <n v="138501.65"/>
    <x v="131"/>
    <x v="0"/>
    <x v="3"/>
    <x v="1"/>
    <x v="1"/>
    <n v="2"/>
    <s v="Q1"/>
    <n v="0.29957059384580215"/>
  </r>
  <r>
    <x v="132"/>
    <x v="46"/>
    <s v="CUST1027"/>
    <s v="Customer 1157"/>
    <x v="0"/>
    <s v="Patna"/>
    <x v="8"/>
    <x v="0"/>
    <n v="3"/>
    <n v="28623.16"/>
    <n v="0.05"/>
    <x v="132"/>
    <n v="55503.41"/>
    <x v="132"/>
    <x v="1"/>
    <x v="4"/>
    <x v="2"/>
    <x v="1"/>
    <n v="2"/>
    <s v="Q1"/>
    <n v="0.3196111209655878"/>
  </r>
  <r>
    <x v="133"/>
    <x v="47"/>
    <s v="CUST1084"/>
    <s v="Customer 1034"/>
    <x v="4"/>
    <s v="Delhi"/>
    <x v="0"/>
    <x v="0"/>
    <n v="2"/>
    <n v="8434.7900000000009"/>
    <n v="0.15"/>
    <x v="133"/>
    <n v="11710.76"/>
    <x v="133"/>
    <x v="0"/>
    <x v="0"/>
    <x v="0"/>
    <x v="1"/>
    <n v="2"/>
    <s v="Q1"/>
    <n v="0.18330109058144353"/>
  </r>
  <r>
    <x v="134"/>
    <x v="47"/>
    <s v="CUST1022"/>
    <s v="Customer 1030"/>
    <x v="2"/>
    <s v="Pune"/>
    <x v="8"/>
    <x v="0"/>
    <n v="1"/>
    <n v="22378.91"/>
    <n v="0.02"/>
    <x v="134"/>
    <n v="18029.07"/>
    <x v="134"/>
    <x v="1"/>
    <x v="4"/>
    <x v="0"/>
    <x v="1"/>
    <n v="2"/>
    <s v="Q1"/>
    <n v="0.17793084140359933"/>
  </r>
  <r>
    <x v="135"/>
    <x v="48"/>
    <s v="CUST1276"/>
    <s v="Customer 1031"/>
    <x v="4"/>
    <s v="Jaipur"/>
    <x v="1"/>
    <x v="1"/>
    <n v="3"/>
    <n v="7858.5"/>
    <n v="0.1"/>
    <x v="135"/>
    <n v="20722.919999999998"/>
    <x v="135"/>
    <x v="1"/>
    <x v="2"/>
    <x v="0"/>
    <x v="1"/>
    <n v="2"/>
    <s v="Q1"/>
    <n v="2.3330717623521593E-2"/>
  </r>
  <r>
    <x v="136"/>
    <x v="48"/>
    <s v="CUST1012"/>
    <s v="Customer 1209"/>
    <x v="1"/>
    <s v="Bengaluru"/>
    <x v="0"/>
    <x v="0"/>
    <n v="3"/>
    <n v="14867.62"/>
    <n v="0.02"/>
    <x v="136"/>
    <n v="36478.79"/>
    <x v="136"/>
    <x v="0"/>
    <x v="0"/>
    <x v="1"/>
    <x v="1"/>
    <n v="2"/>
    <s v="Q1"/>
    <n v="0.16545133010606075"/>
  </r>
  <r>
    <x v="137"/>
    <x v="48"/>
    <s v="CUST1029"/>
    <s v="Customer 1164"/>
    <x v="4"/>
    <s v="Lucknow"/>
    <x v="4"/>
    <x v="1"/>
    <n v="1"/>
    <n v="9133.77"/>
    <n v="0"/>
    <x v="137"/>
    <n v="6560.22"/>
    <x v="137"/>
    <x v="0"/>
    <x v="1"/>
    <x v="1"/>
    <x v="1"/>
    <n v="2"/>
    <s v="Q1"/>
    <n v="0.281762076338686"/>
  </r>
  <r>
    <x v="138"/>
    <x v="48"/>
    <s v="CUST1138"/>
    <s v="Customer 1272"/>
    <x v="4"/>
    <s v="Jaipur"/>
    <x v="9"/>
    <x v="0"/>
    <n v="1"/>
    <n v="6897.54"/>
    <n v="0.02"/>
    <x v="138"/>
    <n v="5394.3"/>
    <x v="138"/>
    <x v="1"/>
    <x v="2"/>
    <x v="2"/>
    <x v="1"/>
    <n v="2"/>
    <s v="Q1"/>
    <n v="0.20197822649006816"/>
  </r>
  <r>
    <x v="139"/>
    <x v="49"/>
    <s v="CUST1149"/>
    <s v="Customer 1137"/>
    <x v="3"/>
    <s v="Nagpur"/>
    <x v="6"/>
    <x v="2"/>
    <n v="3"/>
    <n v="3081.14"/>
    <n v="0"/>
    <x v="139"/>
    <n v="6529.16"/>
    <x v="139"/>
    <x v="0"/>
    <x v="4"/>
    <x v="0"/>
    <x v="1"/>
    <n v="2"/>
    <s v="Q1"/>
    <n v="0.2936423964290274"/>
  </r>
  <r>
    <x v="140"/>
    <x v="49"/>
    <s v="CUST1091"/>
    <s v="Customer 1278"/>
    <x v="2"/>
    <s v="Pune"/>
    <x v="3"/>
    <x v="2"/>
    <n v="1"/>
    <n v="355.27"/>
    <n v="0.1"/>
    <x v="140"/>
    <n v="236.7"/>
    <x v="140"/>
    <x v="1"/>
    <x v="1"/>
    <x v="0"/>
    <x v="1"/>
    <n v="2"/>
    <s v="Q1"/>
    <n v="0.2597110151998499"/>
  </r>
  <r>
    <x v="141"/>
    <x v="49"/>
    <s v="CUST1172"/>
    <s v="Customer 1109"/>
    <x v="0"/>
    <s v="Kolkata"/>
    <x v="1"/>
    <x v="1"/>
    <n v="4"/>
    <n v="5854.25"/>
    <n v="0.15"/>
    <x v="141"/>
    <n v="17626.439999999999"/>
    <x v="141"/>
    <x v="0"/>
    <x v="3"/>
    <x v="2"/>
    <x v="1"/>
    <n v="2"/>
    <s v="Q1"/>
    <n v="0.11444727184122144"/>
  </r>
  <r>
    <x v="142"/>
    <x v="50"/>
    <s v="CUST1253"/>
    <s v="Customer 1122"/>
    <x v="0"/>
    <s v="Bhubaneswar"/>
    <x v="5"/>
    <x v="3"/>
    <n v="3"/>
    <n v="296.64999999999998"/>
    <n v="0.02"/>
    <x v="142"/>
    <n v="723.2"/>
    <x v="142"/>
    <x v="0"/>
    <x v="2"/>
    <x v="0"/>
    <x v="1"/>
    <n v="2"/>
    <s v="Q1"/>
    <n v="0.1707848420569856"/>
  </r>
  <r>
    <x v="143"/>
    <x v="51"/>
    <s v="CUST1142"/>
    <s v="Customer 1210"/>
    <x v="1"/>
    <s v="Hyderabad"/>
    <x v="4"/>
    <x v="1"/>
    <n v="2"/>
    <n v="8334.34"/>
    <n v="0.1"/>
    <x v="143"/>
    <n v="10402.780000000001"/>
    <x v="143"/>
    <x v="0"/>
    <x v="1"/>
    <x v="1"/>
    <x v="1"/>
    <n v="2"/>
    <s v="Q1"/>
    <n v="0.30656500782238943"/>
  </r>
  <r>
    <x v="144"/>
    <x v="51"/>
    <s v="CUST1291"/>
    <s v="Customer 1114"/>
    <x v="1"/>
    <s v="Bengaluru"/>
    <x v="11"/>
    <x v="4"/>
    <n v="1"/>
    <n v="1044.68"/>
    <n v="0.05"/>
    <x v="144"/>
    <n v="820.15"/>
    <x v="144"/>
    <x v="1"/>
    <x v="0"/>
    <x v="0"/>
    <x v="1"/>
    <n v="2"/>
    <s v="Q1"/>
    <n v="0.17361076124741801"/>
  </r>
  <r>
    <x v="145"/>
    <x v="52"/>
    <s v="CUST1290"/>
    <s v="Customer 1251"/>
    <x v="1"/>
    <s v="Chennai"/>
    <x v="9"/>
    <x v="0"/>
    <n v="1"/>
    <n v="4952.76"/>
    <n v="0.02"/>
    <x v="145"/>
    <n v="3606.68"/>
    <x v="145"/>
    <x v="0"/>
    <x v="2"/>
    <x v="1"/>
    <x v="1"/>
    <n v="2"/>
    <s v="Q1"/>
    <n v="0.25692152378597771"/>
  </r>
  <r>
    <x v="146"/>
    <x v="52"/>
    <s v="CUST1259"/>
    <s v="Customer 1130"/>
    <x v="2"/>
    <s v="Ahmedabad"/>
    <x v="7"/>
    <x v="4"/>
    <n v="1"/>
    <n v="1532.1"/>
    <n v="0.05"/>
    <x v="146"/>
    <n v="1162.2"/>
    <x v="146"/>
    <x v="1"/>
    <x v="4"/>
    <x v="1"/>
    <x v="1"/>
    <n v="2"/>
    <s v="Q1"/>
    <n v="0.20150602202694626"/>
  </r>
  <r>
    <x v="147"/>
    <x v="53"/>
    <s v="CUST1251"/>
    <s v="Customer 1086"/>
    <x v="1"/>
    <s v="Hyderabad"/>
    <x v="9"/>
    <x v="0"/>
    <n v="1"/>
    <n v="3524.69"/>
    <n v="0.05"/>
    <x v="147"/>
    <n v="2718.34"/>
    <x v="147"/>
    <x v="1"/>
    <x v="4"/>
    <x v="2"/>
    <x v="1"/>
    <n v="2"/>
    <s v="Q1"/>
    <n v="0.18818202994809555"/>
  </r>
  <r>
    <x v="148"/>
    <x v="53"/>
    <s v="CUST1164"/>
    <s v="Customer 1259"/>
    <x v="1"/>
    <s v="Bengaluru"/>
    <x v="5"/>
    <x v="3"/>
    <n v="3"/>
    <n v="263.17"/>
    <n v="0.15"/>
    <x v="148"/>
    <n v="609.6"/>
    <x v="148"/>
    <x v="0"/>
    <x v="0"/>
    <x v="0"/>
    <x v="1"/>
    <n v="2"/>
    <s v="Q1"/>
    <n v="9.1613518507480465E-2"/>
  </r>
  <r>
    <x v="149"/>
    <x v="54"/>
    <s v="CUST1100"/>
    <s v="Customer 1204"/>
    <x v="0"/>
    <s v="Patna"/>
    <x v="0"/>
    <x v="0"/>
    <n v="4"/>
    <n v="6461.38"/>
    <n v="0.15"/>
    <x v="149"/>
    <n v="17786.87"/>
    <x v="149"/>
    <x v="0"/>
    <x v="3"/>
    <x v="1"/>
    <x v="2"/>
    <n v="3"/>
    <s v="Q1"/>
    <n v="0.19035363510523384"/>
  </r>
  <r>
    <x v="150"/>
    <x v="54"/>
    <s v="CUST1026"/>
    <s v="Customer 1292"/>
    <x v="0"/>
    <s v="Kolkata"/>
    <x v="6"/>
    <x v="2"/>
    <n v="1"/>
    <n v="2978.47"/>
    <n v="0.05"/>
    <x v="150"/>
    <n v="2559.7800000000002"/>
    <x v="150"/>
    <x v="1"/>
    <x v="0"/>
    <x v="2"/>
    <x v="2"/>
    <n v="3"/>
    <s v="Q1"/>
    <n v="9.5340248449400075E-2"/>
  </r>
  <r>
    <x v="151"/>
    <x v="54"/>
    <s v="CUST1122"/>
    <s v="Customer 1051"/>
    <x v="2"/>
    <s v="Mumbai"/>
    <x v="9"/>
    <x v="0"/>
    <n v="1"/>
    <n v="7145.36"/>
    <n v="0.15"/>
    <x v="151"/>
    <n v="6237.96"/>
    <x v="151"/>
    <x v="1"/>
    <x v="3"/>
    <x v="0"/>
    <x v="2"/>
    <n v="3"/>
    <s v="Q1"/>
    <n v="-2.706814454784344E-2"/>
  </r>
  <r>
    <x v="152"/>
    <x v="55"/>
    <s v="CUST1145"/>
    <s v="Customer 1216"/>
    <x v="0"/>
    <s v="Bhubaneswar"/>
    <x v="2"/>
    <x v="0"/>
    <n v="1"/>
    <n v="58477.9"/>
    <n v="0.05"/>
    <x v="152"/>
    <n v="47784.75"/>
    <x v="152"/>
    <x v="1"/>
    <x v="1"/>
    <x v="1"/>
    <x v="2"/>
    <n v="3"/>
    <s v="Q1"/>
    <n v="0.13985041581164273"/>
  </r>
  <r>
    <x v="153"/>
    <x v="55"/>
    <s v="CUST1049"/>
    <s v="Customer 1127"/>
    <x v="2"/>
    <s v="Ahmedabad"/>
    <x v="3"/>
    <x v="2"/>
    <n v="2"/>
    <n v="883.2"/>
    <n v="0.02"/>
    <x v="153"/>
    <n v="1513.16"/>
    <x v="153"/>
    <x v="1"/>
    <x v="0"/>
    <x v="2"/>
    <x v="2"/>
    <n v="3"/>
    <s v="Q1"/>
    <n v="0.12588168011692191"/>
  </r>
  <r>
    <x v="154"/>
    <x v="55"/>
    <s v="CUST1185"/>
    <s v="Customer 1029"/>
    <x v="3"/>
    <s v="Bhopal"/>
    <x v="0"/>
    <x v="0"/>
    <n v="2"/>
    <n v="15985.81"/>
    <n v="0.1"/>
    <x v="154"/>
    <n v="27101.64"/>
    <x v="154"/>
    <x v="1"/>
    <x v="2"/>
    <x v="1"/>
    <x v="2"/>
    <n v="3"/>
    <s v="Q1"/>
    <n v="5.8135582735523099E-2"/>
  </r>
  <r>
    <x v="155"/>
    <x v="55"/>
    <s v="CUST1216"/>
    <s v="Customer 1293"/>
    <x v="2"/>
    <s v="Ahmedabad"/>
    <x v="0"/>
    <x v="0"/>
    <n v="1"/>
    <n v="15972.77"/>
    <n v="0"/>
    <x v="155"/>
    <n v="10167.07"/>
    <x v="155"/>
    <x v="1"/>
    <x v="4"/>
    <x v="1"/>
    <x v="2"/>
    <n v="3"/>
    <s v="Q1"/>
    <n v="0.36347483874118264"/>
  </r>
  <r>
    <x v="156"/>
    <x v="55"/>
    <s v="CUST1282"/>
    <s v="Customer 1121"/>
    <x v="2"/>
    <s v="Ahmedabad"/>
    <x v="3"/>
    <x v="2"/>
    <n v="1"/>
    <n v="1466.31"/>
    <n v="0"/>
    <x v="156"/>
    <n v="1178.4100000000001"/>
    <x v="156"/>
    <x v="0"/>
    <x v="4"/>
    <x v="0"/>
    <x v="2"/>
    <n v="3"/>
    <s v="Q1"/>
    <n v="0.19634320164221752"/>
  </r>
  <r>
    <x v="157"/>
    <x v="56"/>
    <s v="CUST1280"/>
    <s v="Customer 1072"/>
    <x v="0"/>
    <s v="Bhubaneswar"/>
    <x v="5"/>
    <x v="3"/>
    <n v="4"/>
    <n v="175.58"/>
    <n v="0"/>
    <x v="157"/>
    <n v="571.79999999999995"/>
    <x v="157"/>
    <x v="1"/>
    <x v="3"/>
    <x v="1"/>
    <x v="2"/>
    <n v="3"/>
    <s v="Q1"/>
    <n v="0.1858412119831416"/>
  </r>
  <r>
    <x v="158"/>
    <x v="57"/>
    <s v="CUST1029"/>
    <s v="Customer 1011"/>
    <x v="0"/>
    <s v="Kolkata"/>
    <x v="11"/>
    <x v="4"/>
    <n v="1"/>
    <n v="1586.48"/>
    <n v="0.1"/>
    <x v="158"/>
    <n v="1175.01"/>
    <x v="158"/>
    <x v="1"/>
    <x v="2"/>
    <x v="2"/>
    <x v="2"/>
    <n v="3"/>
    <s v="Q1"/>
    <n v="0.17706589720064714"/>
  </r>
  <r>
    <x v="159"/>
    <x v="57"/>
    <s v="CUST1284"/>
    <s v="Customer 1121"/>
    <x v="4"/>
    <s v="Delhi"/>
    <x v="7"/>
    <x v="4"/>
    <n v="1"/>
    <n v="1471.53"/>
    <n v="0.1"/>
    <x v="159"/>
    <n v="1182.76"/>
    <x v="159"/>
    <x v="1"/>
    <x v="3"/>
    <x v="2"/>
    <x v="2"/>
    <n v="3"/>
    <s v="Q1"/>
    <n v="0.10693305546746401"/>
  </r>
  <r>
    <x v="160"/>
    <x v="58"/>
    <s v="CUST1134"/>
    <s v="Customer 1151"/>
    <x v="2"/>
    <s v="Ahmedabad"/>
    <x v="4"/>
    <x v="1"/>
    <n v="1"/>
    <n v="12433.26"/>
    <n v="0.15"/>
    <x v="160"/>
    <n v="10913.9"/>
    <x v="160"/>
    <x v="1"/>
    <x v="1"/>
    <x v="2"/>
    <x v="2"/>
    <n v="3"/>
    <s v="Q1"/>
    <n v="-3.2704501304376209E-2"/>
  </r>
  <r>
    <x v="161"/>
    <x v="58"/>
    <s v="CUST1282"/>
    <s v="Customer 1181"/>
    <x v="2"/>
    <s v="Ahmedabad"/>
    <x v="3"/>
    <x v="2"/>
    <n v="1"/>
    <n v="310.39999999999998"/>
    <n v="0.15"/>
    <x v="161"/>
    <n v="197.8"/>
    <x v="161"/>
    <x v="1"/>
    <x v="2"/>
    <x v="2"/>
    <x v="2"/>
    <n v="3"/>
    <s v="Q1"/>
    <n v="0.25030321406913286"/>
  </r>
  <r>
    <x v="162"/>
    <x v="58"/>
    <s v="CUST1276"/>
    <s v="Customer 1239"/>
    <x v="3"/>
    <s v="Nagpur"/>
    <x v="6"/>
    <x v="2"/>
    <n v="1"/>
    <n v="2584.0700000000002"/>
    <n v="0.05"/>
    <x v="162"/>
    <n v="1944.44"/>
    <x v="162"/>
    <x v="0"/>
    <x v="2"/>
    <x v="0"/>
    <x v="2"/>
    <n v="3"/>
    <s v="Q1"/>
    <n v="0.20792547059518429"/>
  </r>
  <r>
    <x v="163"/>
    <x v="58"/>
    <s v="CUST1008"/>
    <s v="Customer 1076"/>
    <x v="4"/>
    <s v="Delhi"/>
    <x v="0"/>
    <x v="0"/>
    <n v="1"/>
    <n v="16707.2"/>
    <n v="0.02"/>
    <x v="163"/>
    <n v="14176.64"/>
    <x v="163"/>
    <x v="0"/>
    <x v="0"/>
    <x v="2"/>
    <x v="2"/>
    <n v="3"/>
    <s v="Q1"/>
    <n v="0.13414841208668388"/>
  </r>
  <r>
    <x v="164"/>
    <x v="59"/>
    <s v="CUST1053"/>
    <s v="Customer 1106"/>
    <x v="0"/>
    <s v="Patna"/>
    <x v="9"/>
    <x v="0"/>
    <n v="2"/>
    <n v="4917.42"/>
    <n v="0.1"/>
    <x v="164"/>
    <n v="6275.05"/>
    <x v="164"/>
    <x v="0"/>
    <x v="4"/>
    <x v="2"/>
    <x v="2"/>
    <n v="3"/>
    <s v="Q1"/>
    <n v="0.29106374613618696"/>
  </r>
  <r>
    <x v="165"/>
    <x v="59"/>
    <s v="CUST1070"/>
    <s v="Customer 1297"/>
    <x v="1"/>
    <s v="Chennai"/>
    <x v="9"/>
    <x v="0"/>
    <n v="1"/>
    <n v="1547.93"/>
    <n v="0.15"/>
    <x v="165"/>
    <n v="1157.73"/>
    <x v="165"/>
    <x v="1"/>
    <x v="4"/>
    <x v="0"/>
    <x v="2"/>
    <n v="3"/>
    <s v="Q1"/>
    <n v="0.12009211546354143"/>
  </r>
  <r>
    <x v="166"/>
    <x v="59"/>
    <s v="CUST1079"/>
    <s v="Customer 1086"/>
    <x v="2"/>
    <s v="Mumbai"/>
    <x v="5"/>
    <x v="3"/>
    <n v="1"/>
    <n v="376.19"/>
    <n v="0"/>
    <x v="166"/>
    <n v="298"/>
    <x v="166"/>
    <x v="0"/>
    <x v="2"/>
    <x v="1"/>
    <x v="2"/>
    <n v="3"/>
    <s v="Q1"/>
    <n v="0.20784709854063105"/>
  </r>
  <r>
    <x v="167"/>
    <x v="60"/>
    <s v="CUST1102"/>
    <s v="Customer 1120"/>
    <x v="2"/>
    <s v="Mumbai"/>
    <x v="11"/>
    <x v="4"/>
    <n v="2"/>
    <n v="1821.4"/>
    <n v="0.05"/>
    <x v="167"/>
    <n v="2600.6999999999998"/>
    <x v="167"/>
    <x v="1"/>
    <x v="0"/>
    <x v="1"/>
    <x v="2"/>
    <n v="3"/>
    <s v="Q1"/>
    <n v="0.2484959516392827"/>
  </r>
  <r>
    <x v="168"/>
    <x v="60"/>
    <s v="CUST1135"/>
    <s v="Customer 1055"/>
    <x v="1"/>
    <s v="Chennai"/>
    <x v="9"/>
    <x v="0"/>
    <n v="1"/>
    <n v="7640.76"/>
    <n v="0.1"/>
    <x v="168"/>
    <n v="5821.76"/>
    <x v="168"/>
    <x v="0"/>
    <x v="2"/>
    <x v="2"/>
    <x v="2"/>
    <n v="3"/>
    <s v="Q1"/>
    <n v="0.15340542238405744"/>
  </r>
  <r>
    <x v="169"/>
    <x v="61"/>
    <s v="CUST1218"/>
    <s v="Customer 1102"/>
    <x v="1"/>
    <s v="Chennai"/>
    <x v="4"/>
    <x v="1"/>
    <n v="1"/>
    <n v="14418.72"/>
    <n v="0.1"/>
    <x v="169"/>
    <n v="12008.83"/>
    <x v="169"/>
    <x v="0"/>
    <x v="3"/>
    <x v="1"/>
    <x v="2"/>
    <n v="3"/>
    <s v="Q1"/>
    <n v="7.4595915033309312E-2"/>
  </r>
  <r>
    <x v="170"/>
    <x v="61"/>
    <s v="CUST1253"/>
    <s v="Customer 1002"/>
    <x v="1"/>
    <s v="Chennai"/>
    <x v="4"/>
    <x v="1"/>
    <n v="1"/>
    <n v="11300.96"/>
    <n v="0.15"/>
    <x v="170"/>
    <n v="8124.55"/>
    <x v="170"/>
    <x v="0"/>
    <x v="4"/>
    <x v="1"/>
    <x v="2"/>
    <n v="3"/>
    <s v="Q1"/>
    <n v="0.1542054712663781"/>
  </r>
  <r>
    <x v="171"/>
    <x v="62"/>
    <s v="CUST1045"/>
    <s v="Customer 1137"/>
    <x v="3"/>
    <s v="Indore"/>
    <x v="2"/>
    <x v="0"/>
    <n v="2"/>
    <n v="74308.97"/>
    <n v="0.1"/>
    <x v="171"/>
    <n v="121897.25"/>
    <x v="171"/>
    <x v="0"/>
    <x v="0"/>
    <x v="1"/>
    <x v="2"/>
    <n v="3"/>
    <s v="Q1"/>
    <n v="8.8660596166979994E-2"/>
  </r>
  <r>
    <x v="172"/>
    <x v="62"/>
    <s v="CUST1047"/>
    <s v="Customer 1094"/>
    <x v="0"/>
    <s v="Bhubaneswar"/>
    <x v="9"/>
    <x v="0"/>
    <n v="1"/>
    <n v="6353.35"/>
    <n v="0.15"/>
    <x v="172"/>
    <n v="4130.8100000000004"/>
    <x v="172"/>
    <x v="0"/>
    <x v="4"/>
    <x v="0"/>
    <x v="2"/>
    <n v="3"/>
    <s v="Q1"/>
    <n v="0.23508476302461875"/>
  </r>
  <r>
    <x v="173"/>
    <x v="62"/>
    <s v="CUST1086"/>
    <s v="Customer 1274"/>
    <x v="3"/>
    <s v="Indore"/>
    <x v="0"/>
    <x v="0"/>
    <n v="3"/>
    <n v="11188.01"/>
    <n v="0.15"/>
    <x v="173"/>
    <n v="26942.25"/>
    <x v="173"/>
    <x v="1"/>
    <x v="0"/>
    <x v="1"/>
    <x v="2"/>
    <n v="3"/>
    <s v="Q1"/>
    <n v="5.5633077842774992E-2"/>
  </r>
  <r>
    <x v="174"/>
    <x v="62"/>
    <s v="CUST1247"/>
    <s v="Customer 1261"/>
    <x v="4"/>
    <s v="Jaipur"/>
    <x v="8"/>
    <x v="0"/>
    <n v="4"/>
    <n v="14585.95"/>
    <n v="0.05"/>
    <x v="174"/>
    <n v="44628.65"/>
    <x v="174"/>
    <x v="0"/>
    <x v="2"/>
    <x v="2"/>
    <x v="2"/>
    <n v="3"/>
    <s v="Q1"/>
    <n v="0.19481545055705191"/>
  </r>
  <r>
    <x v="175"/>
    <x v="62"/>
    <s v="CUST1129"/>
    <s v="Customer 1196"/>
    <x v="1"/>
    <s v="Hyderabad"/>
    <x v="9"/>
    <x v="0"/>
    <n v="2"/>
    <n v="6736.05"/>
    <n v="0.05"/>
    <x v="175"/>
    <n v="8739.52"/>
    <x v="175"/>
    <x v="0"/>
    <x v="4"/>
    <x v="2"/>
    <x v="2"/>
    <n v="3"/>
    <s v="Q1"/>
    <n v="0.3171444443836734"/>
  </r>
  <r>
    <x v="176"/>
    <x v="63"/>
    <s v="CUST1183"/>
    <s v="Customer 1250"/>
    <x v="4"/>
    <s v="Lucknow"/>
    <x v="9"/>
    <x v="0"/>
    <n v="2"/>
    <n v="4687.74"/>
    <n v="0.1"/>
    <x v="176"/>
    <n v="7652.28"/>
    <x v="176"/>
    <x v="0"/>
    <x v="1"/>
    <x v="0"/>
    <x v="2"/>
    <n v="3"/>
    <s v="Q1"/>
    <n v="9.3109328946791442E-2"/>
  </r>
  <r>
    <x v="177"/>
    <x v="63"/>
    <s v="CUST1127"/>
    <s v="Customer 1160"/>
    <x v="1"/>
    <s v="Hyderabad"/>
    <x v="0"/>
    <x v="0"/>
    <n v="1"/>
    <n v="11534.73"/>
    <n v="0"/>
    <x v="177"/>
    <n v="9466.36"/>
    <x v="177"/>
    <x v="0"/>
    <x v="1"/>
    <x v="2"/>
    <x v="2"/>
    <n v="3"/>
    <s v="Q1"/>
    <n v="0.179316724361992"/>
  </r>
  <r>
    <x v="178"/>
    <x v="63"/>
    <s v="CUST1110"/>
    <s v="Customer 1132"/>
    <x v="0"/>
    <s v="Kolkata"/>
    <x v="0"/>
    <x v="0"/>
    <n v="2"/>
    <n v="11904.9"/>
    <n v="0.1"/>
    <x v="178"/>
    <n v="20804.14"/>
    <x v="178"/>
    <x v="0"/>
    <x v="3"/>
    <x v="2"/>
    <x v="2"/>
    <n v="3"/>
    <s v="Q1"/>
    <n v="2.9151395177149278E-2"/>
  </r>
  <r>
    <x v="179"/>
    <x v="63"/>
    <s v="CUST1027"/>
    <s v="Customer 1271"/>
    <x v="4"/>
    <s v="Lucknow"/>
    <x v="10"/>
    <x v="0"/>
    <n v="3"/>
    <n v="33087.79"/>
    <n v="0.02"/>
    <x v="179"/>
    <n v="62761.36"/>
    <x v="179"/>
    <x v="0"/>
    <x v="4"/>
    <x v="2"/>
    <x v="2"/>
    <n v="3"/>
    <s v="Q1"/>
    <n v="0.354825392354497"/>
  </r>
  <r>
    <x v="180"/>
    <x v="63"/>
    <s v="CUST1113"/>
    <s v="Customer 1112"/>
    <x v="2"/>
    <s v="Pune"/>
    <x v="6"/>
    <x v="2"/>
    <n v="2"/>
    <n v="1679.85"/>
    <n v="0"/>
    <x v="180"/>
    <n v="2226.63"/>
    <x v="180"/>
    <x v="0"/>
    <x v="4"/>
    <x v="2"/>
    <x v="2"/>
    <n v="3"/>
    <s v="Q1"/>
    <n v="0.33725332618983839"/>
  </r>
  <r>
    <x v="181"/>
    <x v="63"/>
    <s v="CUST1218"/>
    <s v="Customer 1189"/>
    <x v="2"/>
    <s v="Pune"/>
    <x v="11"/>
    <x v="4"/>
    <n v="4"/>
    <n v="1489.17"/>
    <n v="0.15"/>
    <x v="181"/>
    <n v="3917.06"/>
    <x v="181"/>
    <x v="1"/>
    <x v="1"/>
    <x v="1"/>
    <x v="2"/>
    <n v="3"/>
    <s v="Q1"/>
    <n v="0.22636366868252755"/>
  </r>
  <r>
    <x v="182"/>
    <x v="63"/>
    <s v="CUST1171"/>
    <s v="Customer 1272"/>
    <x v="2"/>
    <s v="Ahmedabad"/>
    <x v="1"/>
    <x v="1"/>
    <n v="1"/>
    <n v="12478.6"/>
    <n v="0.02"/>
    <x v="182"/>
    <n v="10559.16"/>
    <x v="182"/>
    <x v="1"/>
    <x v="3"/>
    <x v="2"/>
    <x v="2"/>
    <n v="3"/>
    <s v="Q1"/>
    <n v="0.13654966910703464"/>
  </r>
  <r>
    <x v="183"/>
    <x v="63"/>
    <s v="CUST1044"/>
    <s v="Customer 1228"/>
    <x v="0"/>
    <s v="Patna"/>
    <x v="5"/>
    <x v="3"/>
    <n v="1"/>
    <n v="331.88"/>
    <n v="0.02"/>
    <x v="183"/>
    <n v="278.66000000000003"/>
    <x v="183"/>
    <x v="0"/>
    <x v="1"/>
    <x v="1"/>
    <x v="2"/>
    <n v="3"/>
    <s v="Q1"/>
    <n v="0.1432173164432419"/>
  </r>
  <r>
    <x v="184"/>
    <x v="64"/>
    <s v="CUST1214"/>
    <s v="Customer 1065"/>
    <x v="3"/>
    <s v="Nagpur"/>
    <x v="8"/>
    <x v="0"/>
    <n v="3"/>
    <n v="25035.82"/>
    <n v="0"/>
    <x v="184"/>
    <n v="61991.05"/>
    <x v="184"/>
    <x v="1"/>
    <x v="4"/>
    <x v="2"/>
    <x v="2"/>
    <n v="3"/>
    <s v="Q1"/>
    <n v="0.17463524928149612"/>
  </r>
  <r>
    <x v="185"/>
    <x v="65"/>
    <s v="CUST1133"/>
    <s v="Customer 1106"/>
    <x v="3"/>
    <s v="Indore"/>
    <x v="2"/>
    <x v="0"/>
    <n v="4"/>
    <n v="59660.38"/>
    <n v="0.02"/>
    <x v="185"/>
    <n v="158994.88"/>
    <x v="185"/>
    <x v="0"/>
    <x v="3"/>
    <x v="0"/>
    <x v="2"/>
    <n v="3"/>
    <s v="Q1"/>
    <n v="0.32015320220932525"/>
  </r>
  <r>
    <x v="186"/>
    <x v="65"/>
    <s v="CUST1155"/>
    <s v="Customer 1190"/>
    <x v="1"/>
    <s v="Bengaluru"/>
    <x v="5"/>
    <x v="3"/>
    <n v="3"/>
    <n v="311.87"/>
    <n v="0"/>
    <x v="186"/>
    <n v="728.06"/>
    <x v="186"/>
    <x v="0"/>
    <x v="0"/>
    <x v="2"/>
    <x v="2"/>
    <n v="3"/>
    <s v="Q1"/>
    <n v="0.22183388377635982"/>
  </r>
  <r>
    <x v="187"/>
    <x v="65"/>
    <s v="CUST1039"/>
    <s v="Customer 1154"/>
    <x v="3"/>
    <s v="Nagpur"/>
    <x v="8"/>
    <x v="0"/>
    <n v="1"/>
    <n v="13801.5"/>
    <n v="0.02"/>
    <x v="187"/>
    <n v="9842.16"/>
    <x v="187"/>
    <x v="0"/>
    <x v="2"/>
    <x v="1"/>
    <x v="2"/>
    <n v="3"/>
    <s v="Q1"/>
    <n v="0.27232399317731659"/>
  </r>
  <r>
    <x v="188"/>
    <x v="66"/>
    <s v="CUST1123"/>
    <s v="Customer 1184"/>
    <x v="3"/>
    <s v="Bhopal"/>
    <x v="11"/>
    <x v="4"/>
    <n v="2"/>
    <n v="1198.5899999999999"/>
    <n v="0.15"/>
    <x v="188"/>
    <n v="1922.11"/>
    <x v="188"/>
    <x v="1"/>
    <x v="4"/>
    <x v="1"/>
    <x v="2"/>
    <n v="3"/>
    <s v="Q1"/>
    <n v="5.6679426776599921E-2"/>
  </r>
  <r>
    <x v="189"/>
    <x v="66"/>
    <s v="CUST1076"/>
    <s v="Customer 1201"/>
    <x v="0"/>
    <s v="Patna"/>
    <x v="0"/>
    <x v="0"/>
    <n v="1"/>
    <n v="21950.55"/>
    <n v="0"/>
    <x v="189"/>
    <n v="18910.48"/>
    <x v="189"/>
    <x v="0"/>
    <x v="0"/>
    <x v="1"/>
    <x v="2"/>
    <n v="3"/>
    <s v="Q1"/>
    <n v="0.13849630191498619"/>
  </r>
  <r>
    <x v="190"/>
    <x v="66"/>
    <s v="CUST1122"/>
    <s v="Customer 1030"/>
    <x v="4"/>
    <s v="Jaipur"/>
    <x v="5"/>
    <x v="3"/>
    <n v="1"/>
    <n v="203.97"/>
    <n v="0.02"/>
    <x v="190"/>
    <n v="147.88"/>
    <x v="190"/>
    <x v="0"/>
    <x v="4"/>
    <x v="1"/>
    <x v="2"/>
    <n v="3"/>
    <s v="Q1"/>
    <n v="0.26019310620841463"/>
  </r>
  <r>
    <x v="191"/>
    <x v="66"/>
    <s v="CUST1248"/>
    <s v="Customer 1273"/>
    <x v="3"/>
    <s v="Indore"/>
    <x v="0"/>
    <x v="0"/>
    <n v="4"/>
    <n v="12944.34"/>
    <n v="0.1"/>
    <x v="191"/>
    <n v="37949.949999999997"/>
    <x v="191"/>
    <x v="1"/>
    <x v="0"/>
    <x v="0"/>
    <x v="2"/>
    <n v="3"/>
    <s v="Q1"/>
    <n v="0.18561674966448224"/>
  </r>
  <r>
    <x v="192"/>
    <x v="66"/>
    <s v="CUST1249"/>
    <s v="Customer 1091"/>
    <x v="4"/>
    <s v="Delhi"/>
    <x v="11"/>
    <x v="4"/>
    <n v="3"/>
    <n v="583.30999999999995"/>
    <n v="0.15"/>
    <x v="192"/>
    <n v="1233.6199999999999"/>
    <x v="192"/>
    <x v="0"/>
    <x v="3"/>
    <x v="1"/>
    <x v="2"/>
    <n v="3"/>
    <s v="Q1"/>
    <n v="0.17064217716344859"/>
  </r>
  <r>
    <x v="193"/>
    <x v="66"/>
    <s v="CUST1112"/>
    <s v="Customer 1274"/>
    <x v="0"/>
    <s v="Bhubaneswar"/>
    <x v="2"/>
    <x v="0"/>
    <n v="2"/>
    <n v="64654.57"/>
    <n v="0.05"/>
    <x v="193"/>
    <n v="105060.93"/>
    <x v="193"/>
    <x v="1"/>
    <x v="3"/>
    <x v="0"/>
    <x v="2"/>
    <n v="3"/>
    <s v="Q1"/>
    <n v="0.14475917686607892"/>
  </r>
  <r>
    <x v="194"/>
    <x v="67"/>
    <s v="CUST1103"/>
    <s v="Customer 1297"/>
    <x v="0"/>
    <s v="Kolkata"/>
    <x v="6"/>
    <x v="2"/>
    <n v="1"/>
    <n v="1704.6"/>
    <n v="0.15"/>
    <x v="194"/>
    <n v="1236.56"/>
    <x v="194"/>
    <x v="0"/>
    <x v="2"/>
    <x v="2"/>
    <x v="2"/>
    <n v="3"/>
    <s v="Q1"/>
    <n v="0.14655844738458565"/>
  </r>
  <r>
    <x v="195"/>
    <x v="67"/>
    <s v="CUST1165"/>
    <s v="Customer 1278"/>
    <x v="4"/>
    <s v="Delhi"/>
    <x v="8"/>
    <x v="0"/>
    <n v="2"/>
    <n v="11217.42"/>
    <n v="0.1"/>
    <x v="195"/>
    <n v="17738.34"/>
    <x v="195"/>
    <x v="0"/>
    <x v="4"/>
    <x v="0"/>
    <x v="2"/>
    <n v="3"/>
    <s v="Q1"/>
    <n v="0.12148859710291926"/>
  </r>
  <r>
    <x v="196"/>
    <x v="68"/>
    <s v="CUST1177"/>
    <s v="Customer 1184"/>
    <x v="1"/>
    <s v="Bengaluru"/>
    <x v="9"/>
    <x v="0"/>
    <n v="1"/>
    <n v="3591.22"/>
    <n v="0.05"/>
    <x v="196"/>
    <n v="2757.8"/>
    <x v="196"/>
    <x v="1"/>
    <x v="1"/>
    <x v="2"/>
    <x v="2"/>
    <n v="3"/>
    <s v="Q1"/>
    <n v="0.19165450250024915"/>
  </r>
  <r>
    <x v="197"/>
    <x v="68"/>
    <s v="CUST1164"/>
    <s v="Customer 1061"/>
    <x v="2"/>
    <s v="Mumbai"/>
    <x v="3"/>
    <x v="2"/>
    <n v="4"/>
    <n v="1218.92"/>
    <n v="0.15"/>
    <x v="197"/>
    <n v="3045.79"/>
    <x v="197"/>
    <x v="0"/>
    <x v="0"/>
    <x v="0"/>
    <x v="2"/>
    <n v="3"/>
    <s v="Q1"/>
    <n v="0.26507059042112957"/>
  </r>
  <r>
    <x v="198"/>
    <x v="69"/>
    <s v="CUST1257"/>
    <s v="Customer 1131"/>
    <x v="0"/>
    <s v="Bhubaneswar"/>
    <x v="1"/>
    <x v="1"/>
    <n v="1"/>
    <n v="10151.26"/>
    <n v="0"/>
    <x v="198"/>
    <n v="8839.92"/>
    <x v="198"/>
    <x v="1"/>
    <x v="4"/>
    <x v="2"/>
    <x v="2"/>
    <n v="3"/>
    <s v="Q1"/>
    <n v="0.12918002297251768"/>
  </r>
  <r>
    <x v="199"/>
    <x v="69"/>
    <s v="CUST1161"/>
    <s v="Customer 1005"/>
    <x v="4"/>
    <s v="Delhi"/>
    <x v="3"/>
    <x v="2"/>
    <n v="1"/>
    <n v="797.32"/>
    <n v="0.1"/>
    <x v="199"/>
    <n v="549.20000000000005"/>
    <x v="199"/>
    <x v="1"/>
    <x v="1"/>
    <x v="2"/>
    <x v="2"/>
    <n v="3"/>
    <s v="Q1"/>
    <n v="0.23466046070876123"/>
  </r>
  <r>
    <x v="200"/>
    <x v="70"/>
    <s v="CUST1147"/>
    <s v="Customer 1107"/>
    <x v="4"/>
    <s v="Lucknow"/>
    <x v="2"/>
    <x v="0"/>
    <n v="2"/>
    <n v="59785.18"/>
    <n v="0.02"/>
    <x v="200"/>
    <n v="82538.3"/>
    <x v="200"/>
    <x v="0"/>
    <x v="4"/>
    <x v="0"/>
    <x v="2"/>
    <n v="3"/>
    <s v="Q1"/>
    <n v="0.29562178189854066"/>
  </r>
  <r>
    <x v="201"/>
    <x v="70"/>
    <s v="CUST1255"/>
    <s v="Customer 1265"/>
    <x v="2"/>
    <s v="Mumbai"/>
    <x v="9"/>
    <x v="0"/>
    <n v="1"/>
    <n v="2734.72"/>
    <n v="0.05"/>
    <x v="201"/>
    <n v="2125.0700000000002"/>
    <x v="201"/>
    <x v="1"/>
    <x v="1"/>
    <x v="0"/>
    <x v="2"/>
    <n v="3"/>
    <s v="Q1"/>
    <n v="0.1820298847566186"/>
  </r>
  <r>
    <x v="202"/>
    <x v="70"/>
    <s v="CUST1075"/>
    <s v="Customer 1042"/>
    <x v="1"/>
    <s v="Chennai"/>
    <x v="10"/>
    <x v="0"/>
    <n v="1"/>
    <n v="45802.66"/>
    <n v="0.15"/>
    <x v="202"/>
    <n v="36455.279999999999"/>
    <x v="202"/>
    <x v="0"/>
    <x v="4"/>
    <x v="0"/>
    <x v="2"/>
    <n v="3"/>
    <s v="Q1"/>
    <n v="6.362281562899251E-2"/>
  </r>
  <r>
    <x v="203"/>
    <x v="71"/>
    <s v="CUST1150"/>
    <s v="Customer 1048"/>
    <x v="2"/>
    <s v="Pune"/>
    <x v="8"/>
    <x v="0"/>
    <n v="1"/>
    <n v="28881.41"/>
    <n v="0"/>
    <x v="203"/>
    <n v="19069.11"/>
    <x v="203"/>
    <x v="1"/>
    <x v="1"/>
    <x v="1"/>
    <x v="2"/>
    <n v="3"/>
    <s v="Q1"/>
    <n v="0.33974449308395954"/>
  </r>
  <r>
    <x v="204"/>
    <x v="71"/>
    <s v="CUST1067"/>
    <s v="Customer 1034"/>
    <x v="3"/>
    <s v="Nagpur"/>
    <x v="10"/>
    <x v="0"/>
    <n v="1"/>
    <n v="46250.09"/>
    <n v="0.15"/>
    <x v="204"/>
    <n v="32794.720000000001"/>
    <x v="204"/>
    <x v="1"/>
    <x v="0"/>
    <x v="0"/>
    <x v="2"/>
    <n v="3"/>
    <s v="Q1"/>
    <n v="0.16579578343624354"/>
  </r>
  <r>
    <x v="205"/>
    <x v="71"/>
    <s v="CUST1058"/>
    <s v="Customer 1026"/>
    <x v="0"/>
    <s v="Kolkata"/>
    <x v="5"/>
    <x v="3"/>
    <n v="1"/>
    <n v="87.87"/>
    <n v="0"/>
    <x v="205"/>
    <n v="61.87"/>
    <x v="205"/>
    <x v="0"/>
    <x v="2"/>
    <x v="0"/>
    <x v="2"/>
    <n v="3"/>
    <s v="Q1"/>
    <n v="0.29589165813133034"/>
  </r>
  <r>
    <x v="206"/>
    <x v="71"/>
    <s v="CUST1110"/>
    <s v="Customer 1217"/>
    <x v="2"/>
    <s v="Mumbai"/>
    <x v="9"/>
    <x v="0"/>
    <n v="3"/>
    <n v="4271.83"/>
    <n v="0.1"/>
    <x v="206"/>
    <n v="9280.76"/>
    <x v="206"/>
    <x v="1"/>
    <x v="2"/>
    <x v="2"/>
    <x v="2"/>
    <n v="3"/>
    <s v="Q1"/>
    <n v="0.19535215199662906"/>
  </r>
  <r>
    <x v="207"/>
    <x v="72"/>
    <s v="CUST1292"/>
    <s v="Customer 1084"/>
    <x v="3"/>
    <s v="Bhopal"/>
    <x v="10"/>
    <x v="0"/>
    <n v="1"/>
    <n v="30668.62"/>
    <n v="0.02"/>
    <x v="207"/>
    <n v="25019.79"/>
    <x v="207"/>
    <x v="1"/>
    <x v="3"/>
    <x v="1"/>
    <x v="2"/>
    <n v="3"/>
    <s v="Q1"/>
    <n v="0.16754011362407567"/>
  </r>
  <r>
    <x v="208"/>
    <x v="73"/>
    <s v="CUST1114"/>
    <s v="Customer 1040"/>
    <x v="1"/>
    <s v="Chennai"/>
    <x v="11"/>
    <x v="4"/>
    <n v="2"/>
    <n v="2135.61"/>
    <n v="0.1"/>
    <x v="208"/>
    <n v="2732.7"/>
    <x v="208"/>
    <x v="1"/>
    <x v="3"/>
    <x v="2"/>
    <x v="2"/>
    <n v="3"/>
    <s v="Q1"/>
    <n v="0.28911838921984345"/>
  </r>
  <r>
    <x v="209"/>
    <x v="73"/>
    <s v="CUST1251"/>
    <s v="Customer 1169"/>
    <x v="0"/>
    <s v="Bhubaneswar"/>
    <x v="2"/>
    <x v="0"/>
    <n v="1"/>
    <n v="57440.61"/>
    <n v="0.15"/>
    <x v="209"/>
    <n v="48482.15"/>
    <x v="209"/>
    <x v="1"/>
    <x v="0"/>
    <x v="0"/>
    <x v="2"/>
    <n v="3"/>
    <s v="Q1"/>
    <n v="7.0122553176150022E-3"/>
  </r>
  <r>
    <x v="210"/>
    <x v="74"/>
    <s v="CUST1208"/>
    <s v="Customer 1022"/>
    <x v="2"/>
    <s v="Pune"/>
    <x v="5"/>
    <x v="3"/>
    <n v="3"/>
    <n v="336.55"/>
    <n v="0.05"/>
    <x v="210"/>
    <n v="753.14"/>
    <x v="210"/>
    <x v="0"/>
    <x v="1"/>
    <x v="2"/>
    <x v="2"/>
    <n v="3"/>
    <s v="Q1"/>
    <n v="0.21480029608932724"/>
  </r>
  <r>
    <x v="211"/>
    <x v="74"/>
    <s v="CUST1166"/>
    <s v="Customer 1284"/>
    <x v="0"/>
    <s v="Kolkata"/>
    <x v="11"/>
    <x v="4"/>
    <n v="1"/>
    <n v="1525.36"/>
    <n v="0.1"/>
    <x v="211"/>
    <n v="946.26"/>
    <x v="211"/>
    <x v="1"/>
    <x v="3"/>
    <x v="1"/>
    <x v="2"/>
    <n v="3"/>
    <s v="Q1"/>
    <n v="0.31071808394399852"/>
  </r>
  <r>
    <x v="212"/>
    <x v="74"/>
    <s v="CUST1143"/>
    <s v="Customer 1033"/>
    <x v="1"/>
    <s v="Chennai"/>
    <x v="11"/>
    <x v="4"/>
    <n v="1"/>
    <n v="1019.6"/>
    <n v="0"/>
    <x v="212"/>
    <n v="774.69"/>
    <x v="212"/>
    <x v="1"/>
    <x v="3"/>
    <x v="1"/>
    <x v="2"/>
    <n v="3"/>
    <s v="Q1"/>
    <n v="0.24020204001569243"/>
  </r>
  <r>
    <x v="213"/>
    <x v="75"/>
    <s v="CUST1020"/>
    <s v="Customer 1050"/>
    <x v="0"/>
    <s v="Kolkata"/>
    <x v="5"/>
    <x v="3"/>
    <n v="1"/>
    <n v="369.06"/>
    <n v="0.15"/>
    <x v="213"/>
    <n v="314.94"/>
    <x v="213"/>
    <x v="0"/>
    <x v="4"/>
    <x v="0"/>
    <x v="2"/>
    <n v="3"/>
    <s v="Q1"/>
    <n v="-3.9528211667197964E-3"/>
  </r>
  <r>
    <x v="214"/>
    <x v="75"/>
    <s v="CUST1109"/>
    <s v="Customer 1031"/>
    <x v="4"/>
    <s v="Jaipur"/>
    <x v="5"/>
    <x v="3"/>
    <n v="4"/>
    <n v="276.94"/>
    <n v="0.05"/>
    <x v="214"/>
    <n v="838.24"/>
    <x v="214"/>
    <x v="1"/>
    <x v="2"/>
    <x v="2"/>
    <x v="2"/>
    <n v="3"/>
    <s v="Q1"/>
    <n v="0.20347406330473125"/>
  </r>
  <r>
    <x v="215"/>
    <x v="76"/>
    <s v="CUST1044"/>
    <s v="Customer 1137"/>
    <x v="4"/>
    <s v="Lucknow"/>
    <x v="4"/>
    <x v="1"/>
    <n v="2"/>
    <n v="15157.53"/>
    <n v="0.02"/>
    <x v="215"/>
    <n v="24877.24"/>
    <x v="215"/>
    <x v="1"/>
    <x v="2"/>
    <x v="0"/>
    <x v="2"/>
    <n v="3"/>
    <s v="Q1"/>
    <n v="0.16262947359633995"/>
  </r>
  <r>
    <x v="216"/>
    <x v="76"/>
    <s v="CUST1133"/>
    <s v="Customer 1013"/>
    <x v="1"/>
    <s v="Hyderabad"/>
    <x v="8"/>
    <x v="0"/>
    <n v="1"/>
    <n v="17191.39"/>
    <n v="0.15"/>
    <x v="216"/>
    <n v="14520.25"/>
    <x v="216"/>
    <x v="0"/>
    <x v="2"/>
    <x v="0"/>
    <x v="2"/>
    <n v="3"/>
    <s v="Q1"/>
    <n v="6.3253284134053445E-3"/>
  </r>
  <r>
    <x v="217"/>
    <x v="77"/>
    <s v="CUST1154"/>
    <s v="Customer 1228"/>
    <x v="4"/>
    <s v="Jaipur"/>
    <x v="11"/>
    <x v="4"/>
    <n v="1"/>
    <n v="1280.25"/>
    <n v="0.1"/>
    <x v="217"/>
    <n v="1069.9100000000001"/>
    <x v="217"/>
    <x v="0"/>
    <x v="0"/>
    <x v="2"/>
    <x v="2"/>
    <n v="3"/>
    <s v="Q1"/>
    <n v="7.1444069326436557E-2"/>
  </r>
  <r>
    <x v="218"/>
    <x v="78"/>
    <s v="CUST1278"/>
    <s v="Customer 1082"/>
    <x v="1"/>
    <s v="Bengaluru"/>
    <x v="9"/>
    <x v="0"/>
    <n v="2"/>
    <n v="3557.69"/>
    <n v="0.15"/>
    <x v="218"/>
    <n v="6064.53"/>
    <x v="218"/>
    <x v="1"/>
    <x v="0"/>
    <x v="1"/>
    <x v="2"/>
    <n v="3"/>
    <s v="Q1"/>
    <n v="-2.7215293473785854E-3"/>
  </r>
  <r>
    <x v="219"/>
    <x v="78"/>
    <s v="CUST1244"/>
    <s v="Customer 1015"/>
    <x v="4"/>
    <s v="Lucknow"/>
    <x v="4"/>
    <x v="1"/>
    <n v="1"/>
    <n v="14399.93"/>
    <n v="0"/>
    <x v="219"/>
    <n v="9729.15"/>
    <x v="219"/>
    <x v="0"/>
    <x v="0"/>
    <x v="0"/>
    <x v="2"/>
    <n v="3"/>
    <s v="Q1"/>
    <n v="0.32436129897853666"/>
  </r>
  <r>
    <x v="220"/>
    <x v="78"/>
    <s v="CUST1211"/>
    <s v="Customer 1077"/>
    <x v="2"/>
    <s v="Mumbai"/>
    <x v="6"/>
    <x v="2"/>
    <n v="2"/>
    <n v="1733.46"/>
    <n v="0.1"/>
    <x v="220"/>
    <n v="2292.75"/>
    <x v="220"/>
    <x v="1"/>
    <x v="2"/>
    <x v="0"/>
    <x v="2"/>
    <n v="3"/>
    <s v="Q1"/>
    <n v="0.26519839883598323"/>
  </r>
  <r>
    <x v="221"/>
    <x v="79"/>
    <s v="CUST1047"/>
    <s v="Customer 1260"/>
    <x v="4"/>
    <s v="Jaipur"/>
    <x v="1"/>
    <x v="1"/>
    <n v="2"/>
    <n v="12741.65"/>
    <n v="0"/>
    <x v="221"/>
    <n v="22120"/>
    <x v="221"/>
    <x v="0"/>
    <x v="4"/>
    <x v="1"/>
    <x v="2"/>
    <n v="3"/>
    <s v="Q1"/>
    <n v="0.13198055196932895"/>
  </r>
  <r>
    <x v="222"/>
    <x v="79"/>
    <s v="CUST1061"/>
    <s v="Customer 1271"/>
    <x v="3"/>
    <s v="Bhopal"/>
    <x v="10"/>
    <x v="0"/>
    <n v="1"/>
    <n v="34381.230000000003"/>
    <n v="0.1"/>
    <x v="222"/>
    <n v="26072.75"/>
    <x v="222"/>
    <x v="0"/>
    <x v="1"/>
    <x v="2"/>
    <x v="2"/>
    <n v="3"/>
    <s v="Q1"/>
    <n v="0.15739723641224168"/>
  </r>
  <r>
    <x v="223"/>
    <x v="80"/>
    <s v="CUST1174"/>
    <s v="Customer 1122"/>
    <x v="4"/>
    <s v="Delhi"/>
    <x v="8"/>
    <x v="0"/>
    <n v="4"/>
    <n v="16513.830000000002"/>
    <n v="0.02"/>
    <x v="223"/>
    <n v="57741.68"/>
    <x v="223"/>
    <x v="0"/>
    <x v="2"/>
    <x v="1"/>
    <x v="2"/>
    <n v="3"/>
    <s v="Q1"/>
    <n v="0.1080190829547468"/>
  </r>
  <r>
    <x v="224"/>
    <x v="80"/>
    <s v="CUST1061"/>
    <s v="Customer 1138"/>
    <x v="0"/>
    <s v="Patna"/>
    <x v="11"/>
    <x v="4"/>
    <n v="2"/>
    <n v="2184.91"/>
    <n v="0.05"/>
    <x v="224"/>
    <n v="3550.03"/>
    <x v="224"/>
    <x v="0"/>
    <x v="1"/>
    <x v="0"/>
    <x v="2"/>
    <n v="3"/>
    <s v="Q1"/>
    <n v="0.14484514601344628"/>
  </r>
  <r>
    <x v="225"/>
    <x v="80"/>
    <s v="CUST1141"/>
    <s v="Customer 1145"/>
    <x v="4"/>
    <s v="Jaipur"/>
    <x v="11"/>
    <x v="4"/>
    <n v="3"/>
    <n v="2023"/>
    <n v="0"/>
    <x v="225"/>
    <n v="4280.63"/>
    <x v="225"/>
    <x v="0"/>
    <x v="0"/>
    <x v="1"/>
    <x v="2"/>
    <n v="3"/>
    <s v="Q1"/>
    <n v="0.29467292799472727"/>
  </r>
  <r>
    <x v="226"/>
    <x v="81"/>
    <s v="CUST1236"/>
    <s v="Customer 1289"/>
    <x v="1"/>
    <s v="Hyderabad"/>
    <x v="8"/>
    <x v="0"/>
    <n v="4"/>
    <n v="10517.71"/>
    <n v="0.1"/>
    <x v="226"/>
    <n v="31925.34"/>
    <x v="226"/>
    <x v="0"/>
    <x v="2"/>
    <x v="0"/>
    <x v="3"/>
    <n v="4"/>
    <s v="Q2"/>
    <n v="0.15683651068990506"/>
  </r>
  <r>
    <x v="227"/>
    <x v="81"/>
    <s v="CUST1093"/>
    <s v="Customer 1083"/>
    <x v="0"/>
    <s v="Kolkata"/>
    <x v="1"/>
    <x v="1"/>
    <n v="3"/>
    <n v="7665.33"/>
    <n v="0.02"/>
    <x v="227"/>
    <n v="14541.62"/>
    <x v="227"/>
    <x v="1"/>
    <x v="1"/>
    <x v="1"/>
    <x v="3"/>
    <n v="4"/>
    <s v="Q2"/>
    <n v="0.35474020093121827"/>
  </r>
  <r>
    <x v="228"/>
    <x v="81"/>
    <s v="CUST1238"/>
    <s v="Customer 1264"/>
    <x v="0"/>
    <s v="Patna"/>
    <x v="1"/>
    <x v="1"/>
    <n v="1"/>
    <n v="6403.38"/>
    <n v="0"/>
    <x v="228"/>
    <n v="4391.8999999999996"/>
    <x v="228"/>
    <x v="1"/>
    <x v="2"/>
    <x v="0"/>
    <x v="3"/>
    <n v="4"/>
    <s v="Q2"/>
    <n v="0.3141278512285699"/>
  </r>
  <r>
    <x v="229"/>
    <x v="82"/>
    <s v="CUST1192"/>
    <s v="Customer 1077"/>
    <x v="3"/>
    <s v="Indore"/>
    <x v="4"/>
    <x v="1"/>
    <n v="3"/>
    <n v="16083"/>
    <n v="0.1"/>
    <x v="229"/>
    <n v="38329.730000000003"/>
    <x v="229"/>
    <x v="1"/>
    <x v="4"/>
    <x v="2"/>
    <x v="3"/>
    <n v="4"/>
    <s v="Q2"/>
    <n v="0.11731665135258992"/>
  </r>
  <r>
    <x v="230"/>
    <x v="83"/>
    <s v="CUST1276"/>
    <s v="Customer 1158"/>
    <x v="4"/>
    <s v="Delhi"/>
    <x v="2"/>
    <x v="0"/>
    <n v="1"/>
    <n v="64490.89"/>
    <n v="0"/>
    <x v="230"/>
    <n v="45999.35"/>
    <x v="230"/>
    <x v="1"/>
    <x v="3"/>
    <x v="2"/>
    <x v="3"/>
    <n v="4"/>
    <s v="Q2"/>
    <n v="0.28673104061674448"/>
  </r>
  <r>
    <x v="231"/>
    <x v="83"/>
    <s v="CUST1142"/>
    <s v="Customer 1112"/>
    <x v="2"/>
    <s v="Mumbai"/>
    <x v="1"/>
    <x v="1"/>
    <n v="3"/>
    <n v="12461.67"/>
    <n v="0.02"/>
    <x v="231"/>
    <n v="29669.41"/>
    <x v="231"/>
    <x v="1"/>
    <x v="1"/>
    <x v="2"/>
    <x v="3"/>
    <n v="4"/>
    <s v="Q2"/>
    <n v="0.1901859061159239"/>
  </r>
  <r>
    <x v="232"/>
    <x v="83"/>
    <s v="CUST1109"/>
    <s v="Customer 1241"/>
    <x v="4"/>
    <s v="Delhi"/>
    <x v="5"/>
    <x v="3"/>
    <n v="1"/>
    <n v="273.3"/>
    <n v="0.05"/>
    <x v="232"/>
    <n v="189.12"/>
    <x v="232"/>
    <x v="1"/>
    <x v="1"/>
    <x v="0"/>
    <x v="3"/>
    <n v="4"/>
    <s v="Q2"/>
    <n v="0.271578785194315"/>
  </r>
  <r>
    <x v="233"/>
    <x v="83"/>
    <s v="CUST1166"/>
    <s v="Customer 1296"/>
    <x v="4"/>
    <s v="Delhi"/>
    <x v="4"/>
    <x v="1"/>
    <n v="2"/>
    <n v="16358.08"/>
    <n v="0.05"/>
    <x v="233"/>
    <n v="26586.959999999999"/>
    <x v="233"/>
    <x v="0"/>
    <x v="0"/>
    <x v="0"/>
    <x v="3"/>
    <n v="4"/>
    <s v="Q2"/>
    <n v="0.14457333974681755"/>
  </r>
  <r>
    <x v="234"/>
    <x v="84"/>
    <s v="CUST1013"/>
    <s v="Customer 1293"/>
    <x v="2"/>
    <s v="Pune"/>
    <x v="8"/>
    <x v="0"/>
    <n v="1"/>
    <n v="29179.32"/>
    <n v="0.1"/>
    <x v="234"/>
    <n v="21797.21"/>
    <x v="234"/>
    <x v="1"/>
    <x v="2"/>
    <x v="1"/>
    <x v="3"/>
    <n v="4"/>
    <s v="Q2"/>
    <n v="0.16999024042520219"/>
  </r>
  <r>
    <x v="235"/>
    <x v="84"/>
    <s v="CUST1129"/>
    <s v="Customer 1091"/>
    <x v="1"/>
    <s v="Hyderabad"/>
    <x v="0"/>
    <x v="0"/>
    <n v="2"/>
    <n v="8796.56"/>
    <n v="0.05"/>
    <x v="235"/>
    <n v="12030.49"/>
    <x v="235"/>
    <x v="0"/>
    <x v="3"/>
    <x v="1"/>
    <x v="3"/>
    <n v="4"/>
    <s v="Q2"/>
    <n v="0.28019153424844412"/>
  </r>
  <r>
    <x v="236"/>
    <x v="84"/>
    <s v="CUST1222"/>
    <s v="Customer 1204"/>
    <x v="1"/>
    <s v="Chennai"/>
    <x v="3"/>
    <x v="2"/>
    <n v="1"/>
    <n v="625.13"/>
    <n v="0"/>
    <x v="236"/>
    <n v="426.83"/>
    <x v="236"/>
    <x v="0"/>
    <x v="4"/>
    <x v="2"/>
    <x v="3"/>
    <n v="4"/>
    <s v="Q2"/>
    <n v="0.31721401948394734"/>
  </r>
  <r>
    <x v="237"/>
    <x v="85"/>
    <s v="CUST1209"/>
    <s v="Customer 1225"/>
    <x v="0"/>
    <s v="Kolkata"/>
    <x v="3"/>
    <x v="2"/>
    <n v="2"/>
    <n v="967.43"/>
    <n v="0.02"/>
    <x v="237"/>
    <n v="1463.02"/>
    <x v="237"/>
    <x v="1"/>
    <x v="4"/>
    <x v="0"/>
    <x v="3"/>
    <n v="4"/>
    <s v="Q2"/>
    <n v="0.22843009028773942"/>
  </r>
  <r>
    <x v="238"/>
    <x v="85"/>
    <s v="CUST1223"/>
    <s v="Customer 1009"/>
    <x v="2"/>
    <s v="Ahmedabad"/>
    <x v="8"/>
    <x v="0"/>
    <n v="3"/>
    <n v="16144.54"/>
    <n v="0.1"/>
    <x v="238"/>
    <n v="36067.31"/>
    <x v="238"/>
    <x v="1"/>
    <x v="3"/>
    <x v="1"/>
    <x v="3"/>
    <n v="4"/>
    <s v="Q2"/>
    <n v="0.17258327892515438"/>
  </r>
  <r>
    <x v="239"/>
    <x v="85"/>
    <s v="CUST1088"/>
    <s v="Customer 1044"/>
    <x v="2"/>
    <s v="Mumbai"/>
    <x v="10"/>
    <x v="0"/>
    <n v="2"/>
    <n v="21993.919999999998"/>
    <n v="0.1"/>
    <x v="239"/>
    <n v="36625.339999999997"/>
    <x v="239"/>
    <x v="1"/>
    <x v="1"/>
    <x v="0"/>
    <x v="3"/>
    <n v="4"/>
    <s v="Q2"/>
    <n v="7.4862095740590967E-2"/>
  </r>
  <r>
    <x v="240"/>
    <x v="86"/>
    <s v="CUST1222"/>
    <s v="Customer 1231"/>
    <x v="2"/>
    <s v="Mumbai"/>
    <x v="9"/>
    <x v="0"/>
    <n v="4"/>
    <n v="1413.72"/>
    <n v="0"/>
    <x v="240"/>
    <n v="3968.21"/>
    <x v="240"/>
    <x v="1"/>
    <x v="1"/>
    <x v="0"/>
    <x v="3"/>
    <n v="4"/>
    <s v="Q2"/>
    <n v="0.29826804459157402"/>
  </r>
  <r>
    <x v="241"/>
    <x v="87"/>
    <s v="CUST1036"/>
    <s v="Customer 1109"/>
    <x v="3"/>
    <s v="Nagpur"/>
    <x v="4"/>
    <x v="1"/>
    <n v="2"/>
    <n v="17360.64"/>
    <n v="0.1"/>
    <x v="241"/>
    <n v="30280.43"/>
    <x v="241"/>
    <x v="1"/>
    <x v="1"/>
    <x v="0"/>
    <x v="3"/>
    <n v="4"/>
    <s v="Q2"/>
    <n v="3.0999883196822953E-2"/>
  </r>
  <r>
    <x v="242"/>
    <x v="87"/>
    <s v="CUST1018"/>
    <s v="Customer 1097"/>
    <x v="2"/>
    <s v="Pune"/>
    <x v="11"/>
    <x v="4"/>
    <n v="4"/>
    <n v="1761.9"/>
    <n v="0.15"/>
    <x v="242"/>
    <n v="4590.0600000000004"/>
    <x v="242"/>
    <x v="1"/>
    <x v="4"/>
    <x v="0"/>
    <x v="3"/>
    <n v="4"/>
    <s v="Q2"/>
    <n v="0.2337716969982272"/>
  </r>
  <r>
    <x v="243"/>
    <x v="87"/>
    <s v="CUST1117"/>
    <s v="Customer 1199"/>
    <x v="1"/>
    <s v="Chennai"/>
    <x v="3"/>
    <x v="2"/>
    <n v="1"/>
    <n v="464.67"/>
    <n v="0.05"/>
    <x v="243"/>
    <n v="330.61"/>
    <x v="243"/>
    <x v="0"/>
    <x v="3"/>
    <x v="2"/>
    <x v="3"/>
    <n v="4"/>
    <s v="Q2"/>
    <n v="0.2510646973541138"/>
  </r>
  <r>
    <x v="244"/>
    <x v="87"/>
    <s v="CUST1055"/>
    <s v="Customer 1127"/>
    <x v="0"/>
    <s v="Patna"/>
    <x v="11"/>
    <x v="4"/>
    <n v="4"/>
    <n v="1333.77"/>
    <n v="0.15"/>
    <x v="244"/>
    <n v="4535.25"/>
    <x v="244"/>
    <x v="0"/>
    <x v="0"/>
    <x v="2"/>
    <x v="3"/>
    <n v="4"/>
    <s v="Q2"/>
    <n v="-9.4821845189004198E-5"/>
  </r>
  <r>
    <x v="245"/>
    <x v="87"/>
    <s v="CUST1144"/>
    <s v="Customer 1008"/>
    <x v="3"/>
    <s v="Nagpur"/>
    <x v="1"/>
    <x v="1"/>
    <n v="1"/>
    <n v="5699.34"/>
    <n v="0.02"/>
    <x v="245"/>
    <n v="4099.62"/>
    <x v="245"/>
    <x v="1"/>
    <x v="3"/>
    <x v="2"/>
    <x v="3"/>
    <n v="4"/>
    <s v="Q2"/>
    <n v="0.26600481617087557"/>
  </r>
  <r>
    <x v="246"/>
    <x v="88"/>
    <s v="CUST1144"/>
    <s v="Customer 1125"/>
    <x v="1"/>
    <s v="Bengaluru"/>
    <x v="6"/>
    <x v="2"/>
    <n v="1"/>
    <n v="1331.01"/>
    <n v="0"/>
    <x v="246"/>
    <n v="1056.75"/>
    <x v="246"/>
    <x v="1"/>
    <x v="4"/>
    <x v="2"/>
    <x v="3"/>
    <n v="4"/>
    <s v="Q2"/>
    <n v="0.20605404918069736"/>
  </r>
  <r>
    <x v="247"/>
    <x v="88"/>
    <s v="CUST1286"/>
    <s v="Customer 1249"/>
    <x v="1"/>
    <s v="Hyderabad"/>
    <x v="9"/>
    <x v="0"/>
    <n v="2"/>
    <n v="7341.43"/>
    <n v="0.02"/>
    <x v="247"/>
    <n v="10441.76"/>
    <x v="247"/>
    <x v="0"/>
    <x v="0"/>
    <x v="2"/>
    <x v="3"/>
    <n v="4"/>
    <s v="Q2"/>
    <n v="0.27433352792372057"/>
  </r>
  <r>
    <x v="248"/>
    <x v="88"/>
    <s v="CUST1120"/>
    <s v="Customer 1293"/>
    <x v="0"/>
    <s v="Patna"/>
    <x v="6"/>
    <x v="2"/>
    <n v="2"/>
    <n v="3050.61"/>
    <n v="0.15"/>
    <x v="248"/>
    <n v="4649.88"/>
    <x v="248"/>
    <x v="0"/>
    <x v="0"/>
    <x v="1"/>
    <x v="3"/>
    <n v="4"/>
    <s v="Q2"/>
    <n v="0.10338524191868941"/>
  </r>
  <r>
    <x v="249"/>
    <x v="88"/>
    <s v="CUST1031"/>
    <s v="Customer 1158"/>
    <x v="3"/>
    <s v="Bhopal"/>
    <x v="3"/>
    <x v="2"/>
    <n v="2"/>
    <n v="1386.36"/>
    <n v="0.05"/>
    <x v="249"/>
    <n v="1957.1"/>
    <x v="249"/>
    <x v="0"/>
    <x v="2"/>
    <x v="2"/>
    <x v="3"/>
    <n v="4"/>
    <s v="Q2"/>
    <n v="0.25700813946425316"/>
  </r>
  <r>
    <x v="250"/>
    <x v="89"/>
    <s v="CUST1116"/>
    <s v="Customer 1270"/>
    <x v="4"/>
    <s v="Lucknow"/>
    <x v="7"/>
    <x v="4"/>
    <n v="1"/>
    <n v="3449.35"/>
    <n v="0.1"/>
    <x v="250"/>
    <n v="2976.12"/>
    <x v="250"/>
    <x v="1"/>
    <x v="3"/>
    <x v="0"/>
    <x v="3"/>
    <n v="4"/>
    <s v="Q2"/>
    <n v="4.1325082704926221E-2"/>
  </r>
  <r>
    <x v="251"/>
    <x v="90"/>
    <s v="CUST1252"/>
    <s v="Customer 1077"/>
    <x v="4"/>
    <s v="Delhi"/>
    <x v="2"/>
    <x v="0"/>
    <n v="2"/>
    <n v="62879.56"/>
    <n v="0.1"/>
    <x v="251"/>
    <n v="83471.360000000001"/>
    <x v="251"/>
    <x v="1"/>
    <x v="4"/>
    <x v="0"/>
    <x v="3"/>
    <n v="4"/>
    <s v="Q2"/>
    <n v="0.26251110920073745"/>
  </r>
  <r>
    <x v="252"/>
    <x v="91"/>
    <s v="CUST1113"/>
    <s v="Customer 1081"/>
    <x v="4"/>
    <s v="Jaipur"/>
    <x v="8"/>
    <x v="0"/>
    <n v="4"/>
    <n v="14184.4"/>
    <n v="0.02"/>
    <x v="252"/>
    <n v="45684.57"/>
    <x v="252"/>
    <x v="1"/>
    <x v="0"/>
    <x v="1"/>
    <x v="3"/>
    <n v="4"/>
    <s v="Q2"/>
    <n v="0.17837718750028103"/>
  </r>
  <r>
    <x v="253"/>
    <x v="91"/>
    <s v="CUST1260"/>
    <s v="Customer 1246"/>
    <x v="4"/>
    <s v="Delhi"/>
    <x v="4"/>
    <x v="1"/>
    <n v="2"/>
    <n v="7394.92"/>
    <n v="0.1"/>
    <x v="253"/>
    <n v="12324.35"/>
    <x v="253"/>
    <x v="1"/>
    <x v="0"/>
    <x v="2"/>
    <x v="3"/>
    <n v="4"/>
    <s v="Q2"/>
    <n v="7.4113167744232905E-2"/>
  </r>
  <r>
    <x v="254"/>
    <x v="92"/>
    <s v="CUST1038"/>
    <s v="Customer 1133"/>
    <x v="2"/>
    <s v="Ahmedabad"/>
    <x v="2"/>
    <x v="0"/>
    <n v="3"/>
    <n v="70288.81"/>
    <n v="0.02"/>
    <x v="254"/>
    <n v="153148.51"/>
    <x v="254"/>
    <x v="1"/>
    <x v="2"/>
    <x v="0"/>
    <x v="3"/>
    <n v="4"/>
    <s v="Q2"/>
    <n v="0.25889582872608685"/>
  </r>
  <r>
    <x v="255"/>
    <x v="92"/>
    <s v="CUST1173"/>
    <s v="Customer 1171"/>
    <x v="2"/>
    <s v="Mumbai"/>
    <x v="8"/>
    <x v="0"/>
    <n v="2"/>
    <n v="24822.91"/>
    <n v="0.05"/>
    <x v="255"/>
    <n v="37233.839999999997"/>
    <x v="255"/>
    <x v="1"/>
    <x v="3"/>
    <x v="0"/>
    <x v="3"/>
    <n v="4"/>
    <s v="Q2"/>
    <n v="0.21053746401085754"/>
  </r>
  <r>
    <x v="256"/>
    <x v="92"/>
    <s v="CUST1223"/>
    <s v="Customer 1059"/>
    <x v="4"/>
    <s v="Lucknow"/>
    <x v="4"/>
    <x v="1"/>
    <n v="3"/>
    <n v="6591.64"/>
    <n v="0.15"/>
    <x v="256"/>
    <n v="13921.21"/>
    <x v="256"/>
    <x v="1"/>
    <x v="1"/>
    <x v="0"/>
    <x v="3"/>
    <n v="4"/>
    <s v="Q2"/>
    <n v="0.17178445898190695"/>
  </r>
  <r>
    <x v="257"/>
    <x v="93"/>
    <s v="CUST1055"/>
    <s v="Customer 1257"/>
    <x v="1"/>
    <s v="Bengaluru"/>
    <x v="5"/>
    <x v="3"/>
    <n v="3"/>
    <n v="292.49"/>
    <n v="0.05"/>
    <x v="257"/>
    <n v="655.66"/>
    <x v="257"/>
    <x v="1"/>
    <x v="3"/>
    <x v="1"/>
    <x v="3"/>
    <n v="4"/>
    <s v="Q2"/>
    <n v="0.21345969289827255"/>
  </r>
  <r>
    <x v="258"/>
    <x v="93"/>
    <s v="CUST1273"/>
    <s v="Customer 1014"/>
    <x v="1"/>
    <s v="Hyderabad"/>
    <x v="4"/>
    <x v="1"/>
    <n v="4"/>
    <n v="15339.44"/>
    <n v="0.1"/>
    <x v="258"/>
    <n v="51514.92"/>
    <x v="258"/>
    <x v="1"/>
    <x v="1"/>
    <x v="0"/>
    <x v="3"/>
    <n v="4"/>
    <s v="Q2"/>
    <n v="6.7130153609124471E-2"/>
  </r>
  <r>
    <x v="259"/>
    <x v="94"/>
    <s v="CUST1224"/>
    <s v="Customer 1010"/>
    <x v="1"/>
    <s v="Chennai"/>
    <x v="1"/>
    <x v="1"/>
    <n v="2"/>
    <n v="6960.15"/>
    <n v="0.05"/>
    <x v="259"/>
    <n v="12220.22"/>
    <x v="259"/>
    <x v="1"/>
    <x v="1"/>
    <x v="2"/>
    <x v="3"/>
    <n v="4"/>
    <s v="Q2"/>
    <n v="7.5925494620501077E-2"/>
  </r>
  <r>
    <x v="260"/>
    <x v="94"/>
    <s v="CUST1214"/>
    <s v="Customer 1249"/>
    <x v="1"/>
    <s v="Hyderabad"/>
    <x v="8"/>
    <x v="0"/>
    <n v="1"/>
    <n v="17437.349999999999"/>
    <n v="0.05"/>
    <x v="260"/>
    <n v="14802.25"/>
    <x v="260"/>
    <x v="0"/>
    <x v="2"/>
    <x v="2"/>
    <x v="3"/>
    <n v="4"/>
    <s v="Q2"/>
    <n v="0.10644001864117431"/>
  </r>
  <r>
    <x v="261"/>
    <x v="94"/>
    <s v="CUST1254"/>
    <s v="Customer 1227"/>
    <x v="2"/>
    <s v="Pune"/>
    <x v="1"/>
    <x v="1"/>
    <n v="2"/>
    <n v="14653.24"/>
    <n v="0.05"/>
    <x v="261"/>
    <n v="25299.26"/>
    <x v="261"/>
    <x v="0"/>
    <x v="0"/>
    <x v="2"/>
    <x v="3"/>
    <n v="4"/>
    <s v="Q2"/>
    <n v="9.1300075140547304E-2"/>
  </r>
  <r>
    <x v="262"/>
    <x v="95"/>
    <s v="CUST1291"/>
    <s v="Customer 1250"/>
    <x v="3"/>
    <s v="Indore"/>
    <x v="2"/>
    <x v="0"/>
    <n v="3"/>
    <n v="59149.39"/>
    <n v="0"/>
    <x v="262"/>
    <n v="131752.03"/>
    <x v="262"/>
    <x v="1"/>
    <x v="1"/>
    <x v="2"/>
    <x v="3"/>
    <n v="4"/>
    <s v="Q2"/>
    <n v="0.25751823757889414"/>
  </r>
  <r>
    <x v="263"/>
    <x v="95"/>
    <s v="CUST1250"/>
    <s v="Customer 1117"/>
    <x v="2"/>
    <s v="Pune"/>
    <x v="8"/>
    <x v="0"/>
    <n v="1"/>
    <n v="19601.740000000002"/>
    <n v="0"/>
    <x v="263"/>
    <n v="14772.63"/>
    <x v="263"/>
    <x v="0"/>
    <x v="4"/>
    <x v="1"/>
    <x v="3"/>
    <n v="4"/>
    <s v="Q2"/>
    <n v="0.24636129241587734"/>
  </r>
  <r>
    <x v="264"/>
    <x v="95"/>
    <s v="CUST1123"/>
    <s v="Customer 1029"/>
    <x v="3"/>
    <s v="Nagpur"/>
    <x v="0"/>
    <x v="0"/>
    <n v="3"/>
    <n v="15487.04"/>
    <n v="0.15"/>
    <x v="264"/>
    <n v="29911.05"/>
    <x v="264"/>
    <x v="1"/>
    <x v="1"/>
    <x v="0"/>
    <x v="3"/>
    <n v="4"/>
    <s v="Q2"/>
    <n v="0.24260387243476203"/>
  </r>
  <r>
    <x v="265"/>
    <x v="95"/>
    <s v="CUST1047"/>
    <s v="Customer 1087"/>
    <x v="1"/>
    <s v="Bengaluru"/>
    <x v="11"/>
    <x v="4"/>
    <n v="1"/>
    <n v="1668.69"/>
    <n v="0"/>
    <x v="265"/>
    <n v="1101.76"/>
    <x v="265"/>
    <x v="1"/>
    <x v="3"/>
    <x v="0"/>
    <x v="3"/>
    <n v="4"/>
    <s v="Q2"/>
    <n v="0.33974554890363096"/>
  </r>
  <r>
    <x v="266"/>
    <x v="95"/>
    <s v="CUST1202"/>
    <s v="Customer 1266"/>
    <x v="4"/>
    <s v="Jaipur"/>
    <x v="9"/>
    <x v="0"/>
    <n v="4"/>
    <n v="3612.44"/>
    <n v="0.02"/>
    <x v="266"/>
    <n v="11470.64"/>
    <x v="266"/>
    <x v="0"/>
    <x v="2"/>
    <x v="2"/>
    <x v="3"/>
    <n v="4"/>
    <s v="Q2"/>
    <n v="0.18997002985715455"/>
  </r>
  <r>
    <x v="267"/>
    <x v="95"/>
    <s v="CUST1260"/>
    <s v="Customer 1255"/>
    <x v="0"/>
    <s v="Kolkata"/>
    <x v="7"/>
    <x v="4"/>
    <n v="1"/>
    <n v="1287.78"/>
    <n v="0"/>
    <x v="267"/>
    <n v="907.65"/>
    <x v="267"/>
    <x v="1"/>
    <x v="2"/>
    <x v="2"/>
    <x v="3"/>
    <n v="4"/>
    <s v="Q2"/>
    <n v="0.29518240693286119"/>
  </r>
  <r>
    <x v="268"/>
    <x v="96"/>
    <s v="CUST1032"/>
    <s v="Customer 1074"/>
    <x v="1"/>
    <s v="Bengaluru"/>
    <x v="4"/>
    <x v="1"/>
    <n v="2"/>
    <n v="7830.73"/>
    <n v="0.05"/>
    <x v="268"/>
    <n v="12045.11"/>
    <x v="268"/>
    <x v="1"/>
    <x v="0"/>
    <x v="0"/>
    <x v="3"/>
    <n v="4"/>
    <s v="Q2"/>
    <n v="0.19042920638590602"/>
  </r>
  <r>
    <x v="269"/>
    <x v="96"/>
    <s v="CUST1133"/>
    <s v="Customer 1108"/>
    <x v="2"/>
    <s v="Ahmedabad"/>
    <x v="1"/>
    <x v="1"/>
    <n v="4"/>
    <n v="5667.63"/>
    <n v="0"/>
    <x v="269"/>
    <n v="14338.14"/>
    <x v="269"/>
    <x v="0"/>
    <x v="2"/>
    <x v="1"/>
    <x v="3"/>
    <n v="4"/>
    <s v="Q2"/>
    <n v="0.36754251777197872"/>
  </r>
  <r>
    <x v="270"/>
    <x v="96"/>
    <s v="CUST1181"/>
    <s v="Customer 1184"/>
    <x v="0"/>
    <s v="Bhubaneswar"/>
    <x v="4"/>
    <x v="1"/>
    <n v="4"/>
    <n v="6069.54"/>
    <n v="0.02"/>
    <x v="270"/>
    <n v="20243.59"/>
    <x v="270"/>
    <x v="0"/>
    <x v="0"/>
    <x v="1"/>
    <x v="3"/>
    <n v="4"/>
    <s v="Q2"/>
    <n v="0.14916444608827956"/>
  </r>
  <r>
    <x v="271"/>
    <x v="96"/>
    <s v="CUST1139"/>
    <s v="Customer 1299"/>
    <x v="1"/>
    <s v="Bengaluru"/>
    <x v="7"/>
    <x v="4"/>
    <n v="3"/>
    <n v="3234.27"/>
    <n v="0.05"/>
    <x v="271"/>
    <n v="7426.97"/>
    <x v="271"/>
    <x v="1"/>
    <x v="4"/>
    <x v="2"/>
    <x v="3"/>
    <n v="4"/>
    <s v="Q2"/>
    <n v="0.19426818274032376"/>
  </r>
  <r>
    <x v="272"/>
    <x v="97"/>
    <s v="CUST1135"/>
    <s v="Customer 1069"/>
    <x v="3"/>
    <s v="Indore"/>
    <x v="1"/>
    <x v="1"/>
    <n v="1"/>
    <n v="9681.23"/>
    <n v="0.1"/>
    <x v="272"/>
    <n v="8191.38"/>
    <x v="272"/>
    <x v="1"/>
    <x v="1"/>
    <x v="1"/>
    <x v="3"/>
    <n v="4"/>
    <s v="Q2"/>
    <n v="5.9878734458763863E-2"/>
  </r>
  <r>
    <x v="273"/>
    <x v="97"/>
    <s v="CUST1128"/>
    <s v="Customer 1195"/>
    <x v="0"/>
    <s v="Bhubaneswar"/>
    <x v="6"/>
    <x v="2"/>
    <n v="1"/>
    <n v="1475.88"/>
    <n v="0.15"/>
    <x v="273"/>
    <n v="1026.02"/>
    <x v="273"/>
    <x v="1"/>
    <x v="2"/>
    <x v="2"/>
    <x v="3"/>
    <n v="4"/>
    <s v="Q2"/>
    <n v="0.18212833798326025"/>
  </r>
  <r>
    <x v="274"/>
    <x v="98"/>
    <s v="CUST1019"/>
    <s v="Customer 1072"/>
    <x v="3"/>
    <s v="Indore"/>
    <x v="9"/>
    <x v="0"/>
    <n v="4"/>
    <n v="4264.0600000000004"/>
    <n v="0.15"/>
    <x v="274"/>
    <n v="12324.66"/>
    <x v="274"/>
    <x v="0"/>
    <x v="3"/>
    <x v="0"/>
    <x v="3"/>
    <n v="4"/>
    <s v="Q2"/>
    <n v="0.14989446674667881"/>
  </r>
  <r>
    <x v="275"/>
    <x v="98"/>
    <s v="CUST1251"/>
    <s v="Customer 1130"/>
    <x v="3"/>
    <s v="Nagpur"/>
    <x v="2"/>
    <x v="0"/>
    <n v="2"/>
    <n v="71883.41"/>
    <n v="0.1"/>
    <x v="275"/>
    <n v="121439.29"/>
    <x v="275"/>
    <x v="1"/>
    <x v="3"/>
    <x v="1"/>
    <x v="3"/>
    <n v="4"/>
    <s v="Q2"/>
    <n v="6.1448654433792251E-2"/>
  </r>
  <r>
    <x v="276"/>
    <x v="98"/>
    <s v="CUST1272"/>
    <s v="Customer 1171"/>
    <x v="0"/>
    <s v="Patna"/>
    <x v="6"/>
    <x v="2"/>
    <n v="4"/>
    <n v="3416.99"/>
    <n v="0.1"/>
    <x v="276"/>
    <n v="11572.88"/>
    <x v="276"/>
    <x v="0"/>
    <x v="0"/>
    <x v="1"/>
    <x v="3"/>
    <n v="4"/>
    <s v="Q2"/>
    <n v="5.9204172614615205E-2"/>
  </r>
  <r>
    <x v="277"/>
    <x v="98"/>
    <s v="CUST1165"/>
    <s v="Customer 1091"/>
    <x v="4"/>
    <s v="Delhi"/>
    <x v="6"/>
    <x v="2"/>
    <n v="3"/>
    <n v="2531.52"/>
    <n v="0"/>
    <x v="277"/>
    <n v="5988.45"/>
    <x v="277"/>
    <x v="0"/>
    <x v="1"/>
    <x v="0"/>
    <x v="3"/>
    <n v="4"/>
    <s v="Q2"/>
    <n v="0.21148163948931864"/>
  </r>
  <r>
    <x v="278"/>
    <x v="98"/>
    <s v="CUST1162"/>
    <s v="Customer 1206"/>
    <x v="2"/>
    <s v="Pune"/>
    <x v="3"/>
    <x v="2"/>
    <n v="1"/>
    <n v="317.26"/>
    <n v="0.1"/>
    <x v="278"/>
    <n v="246.68"/>
    <x v="278"/>
    <x v="0"/>
    <x v="1"/>
    <x v="1"/>
    <x v="3"/>
    <n v="4"/>
    <s v="Q2"/>
    <n v="0.13606276048050994"/>
  </r>
  <r>
    <x v="279"/>
    <x v="98"/>
    <s v="CUST1265"/>
    <s v="Customer 1290"/>
    <x v="3"/>
    <s v="Indore"/>
    <x v="5"/>
    <x v="3"/>
    <n v="4"/>
    <n v="315.83999999999997"/>
    <n v="0.02"/>
    <x v="279"/>
    <n v="873.98"/>
    <x v="279"/>
    <x v="1"/>
    <x v="1"/>
    <x v="0"/>
    <x v="3"/>
    <n v="4"/>
    <s v="Q2"/>
    <n v="0.29409009038115164"/>
  </r>
  <r>
    <x v="280"/>
    <x v="99"/>
    <s v="CUST1183"/>
    <s v="Customer 1192"/>
    <x v="2"/>
    <s v="Mumbai"/>
    <x v="9"/>
    <x v="0"/>
    <n v="1"/>
    <n v="2008.35"/>
    <n v="0.1"/>
    <x v="280"/>
    <n v="1595.58"/>
    <x v="280"/>
    <x v="1"/>
    <x v="0"/>
    <x v="2"/>
    <x v="3"/>
    <n v="4"/>
    <s v="Q2"/>
    <n v="0.1172496970971115"/>
  </r>
  <r>
    <x v="281"/>
    <x v="99"/>
    <s v="CUST1050"/>
    <s v="Customer 1105"/>
    <x v="2"/>
    <s v="Ahmedabad"/>
    <x v="8"/>
    <x v="0"/>
    <n v="2"/>
    <n v="16670.13"/>
    <n v="0"/>
    <x v="281"/>
    <n v="26701.1"/>
    <x v="281"/>
    <x v="0"/>
    <x v="3"/>
    <x v="2"/>
    <x v="3"/>
    <n v="4"/>
    <s v="Q2"/>
    <n v="0.19913342007530832"/>
  </r>
  <r>
    <x v="282"/>
    <x v="100"/>
    <s v="CUST1210"/>
    <s v="Customer 1237"/>
    <x v="1"/>
    <s v="Hyderabad"/>
    <x v="1"/>
    <x v="1"/>
    <n v="4"/>
    <n v="14483.61"/>
    <n v="0.02"/>
    <x v="282"/>
    <n v="44416.77"/>
    <x v="282"/>
    <x v="0"/>
    <x v="0"/>
    <x v="2"/>
    <x v="3"/>
    <n v="4"/>
    <s v="Q2"/>
    <n v="0.2176806118809527"/>
  </r>
  <r>
    <x v="283"/>
    <x v="100"/>
    <s v="CUST1269"/>
    <s v="Customer 1278"/>
    <x v="0"/>
    <s v="Bhubaneswar"/>
    <x v="9"/>
    <x v="0"/>
    <n v="1"/>
    <n v="5527.35"/>
    <n v="0.15"/>
    <x v="283"/>
    <n v="4613.8900000000003"/>
    <x v="283"/>
    <x v="0"/>
    <x v="3"/>
    <x v="2"/>
    <x v="3"/>
    <n v="4"/>
    <s v="Q2"/>
    <n v="1.795562177406481E-2"/>
  </r>
  <r>
    <x v="284"/>
    <x v="100"/>
    <s v="CUST1037"/>
    <s v="Customer 1071"/>
    <x v="3"/>
    <s v="Nagpur"/>
    <x v="0"/>
    <x v="0"/>
    <n v="2"/>
    <n v="9018.1200000000008"/>
    <n v="0.1"/>
    <x v="284"/>
    <n v="13661.22"/>
    <x v="284"/>
    <x v="1"/>
    <x v="3"/>
    <x v="2"/>
    <x v="3"/>
    <n v="4"/>
    <s v="Q2"/>
    <n v="0.15840942497267846"/>
  </r>
  <r>
    <x v="285"/>
    <x v="101"/>
    <s v="CUST1102"/>
    <s v="Customer 1017"/>
    <x v="1"/>
    <s v="Chennai"/>
    <x v="2"/>
    <x v="0"/>
    <n v="1"/>
    <n v="57487.37"/>
    <n v="0.05"/>
    <x v="285"/>
    <n v="43008.88"/>
    <x v="285"/>
    <x v="0"/>
    <x v="4"/>
    <x v="0"/>
    <x v="3"/>
    <n v="4"/>
    <s v="Q2"/>
    <n v="0.21247908007251023"/>
  </r>
  <r>
    <x v="286"/>
    <x v="101"/>
    <s v="CUST1123"/>
    <s v="Customer 1193"/>
    <x v="0"/>
    <s v="Kolkata"/>
    <x v="7"/>
    <x v="4"/>
    <n v="3"/>
    <n v="1901.32"/>
    <n v="0.02"/>
    <x v="286"/>
    <n v="3633.26"/>
    <x v="286"/>
    <x v="1"/>
    <x v="1"/>
    <x v="2"/>
    <x v="3"/>
    <n v="4"/>
    <s v="Q2"/>
    <n v="0.3500289809441347"/>
  </r>
  <r>
    <x v="287"/>
    <x v="101"/>
    <s v="CUST1047"/>
    <s v="Customer 1063"/>
    <x v="1"/>
    <s v="Chennai"/>
    <x v="8"/>
    <x v="0"/>
    <n v="4"/>
    <n v="13284.52"/>
    <n v="0"/>
    <x v="287"/>
    <n v="44252.12"/>
    <x v="287"/>
    <x v="1"/>
    <x v="0"/>
    <x v="1"/>
    <x v="3"/>
    <n v="4"/>
    <s v="Q2"/>
    <n v="0.16722395690623371"/>
  </r>
  <r>
    <x v="288"/>
    <x v="101"/>
    <s v="CUST1249"/>
    <s v="Customer 1151"/>
    <x v="1"/>
    <s v="Chennai"/>
    <x v="7"/>
    <x v="4"/>
    <n v="3"/>
    <n v="1738.02"/>
    <n v="0.05"/>
    <x v="288"/>
    <n v="4018.52"/>
    <x v="288"/>
    <x v="1"/>
    <x v="1"/>
    <x v="1"/>
    <x v="3"/>
    <n v="4"/>
    <s v="Q2"/>
    <n v="0.18872845906616925"/>
  </r>
  <r>
    <x v="289"/>
    <x v="102"/>
    <s v="CUST1127"/>
    <s v="Customer 1021"/>
    <x v="3"/>
    <s v="Indore"/>
    <x v="10"/>
    <x v="0"/>
    <n v="1"/>
    <n v="39658.89"/>
    <n v="0.15"/>
    <x v="289"/>
    <n v="28996.66"/>
    <x v="289"/>
    <x v="1"/>
    <x v="0"/>
    <x v="2"/>
    <x v="3"/>
    <n v="4"/>
    <s v="Q2"/>
    <n v="0.1398217624056439"/>
  </r>
  <r>
    <x v="290"/>
    <x v="103"/>
    <s v="CUST1229"/>
    <s v="Customer 1171"/>
    <x v="1"/>
    <s v="Chennai"/>
    <x v="1"/>
    <x v="1"/>
    <n v="2"/>
    <n v="4467.49"/>
    <n v="0.02"/>
    <x v="290"/>
    <n v="6590.2"/>
    <x v="290"/>
    <x v="1"/>
    <x v="3"/>
    <x v="1"/>
    <x v="3"/>
    <n v="4"/>
    <s v="Q2"/>
    <n v="0.24737445581913778"/>
  </r>
  <r>
    <x v="291"/>
    <x v="104"/>
    <s v="CUST1145"/>
    <s v="Customer 1026"/>
    <x v="3"/>
    <s v="Indore"/>
    <x v="11"/>
    <x v="4"/>
    <n v="1"/>
    <n v="934.02"/>
    <n v="0.02"/>
    <x v="291"/>
    <n v="669.99"/>
    <x v="291"/>
    <x v="0"/>
    <x v="0"/>
    <x v="2"/>
    <x v="3"/>
    <n v="4"/>
    <s v="Q2"/>
    <n v="0.2680424760198396"/>
  </r>
  <r>
    <x v="292"/>
    <x v="104"/>
    <s v="CUST1076"/>
    <s v="Customer 1164"/>
    <x v="3"/>
    <s v="Nagpur"/>
    <x v="10"/>
    <x v="0"/>
    <n v="3"/>
    <n v="35154.019999999997"/>
    <n v="0.15"/>
    <x v="292"/>
    <n v="91350.06"/>
    <x v="292"/>
    <x v="0"/>
    <x v="3"/>
    <x v="0"/>
    <x v="3"/>
    <n v="4"/>
    <s v="Q2"/>
    <n v="-1.9045712006827101E-2"/>
  </r>
  <r>
    <x v="293"/>
    <x v="104"/>
    <s v="CUST1252"/>
    <s v="Customer 1107"/>
    <x v="3"/>
    <s v="Bhopal"/>
    <x v="6"/>
    <x v="2"/>
    <n v="2"/>
    <n v="1545.8"/>
    <n v="0.02"/>
    <x v="293"/>
    <n v="2318.2399999999998"/>
    <x v="293"/>
    <x v="1"/>
    <x v="4"/>
    <x v="1"/>
    <x v="3"/>
    <n v="4"/>
    <s v="Q2"/>
    <n v="0.23484620944824194"/>
  </r>
  <r>
    <x v="294"/>
    <x v="104"/>
    <s v="CUST1257"/>
    <s v="Customer 1058"/>
    <x v="4"/>
    <s v="Jaipur"/>
    <x v="8"/>
    <x v="0"/>
    <n v="2"/>
    <n v="17112.79"/>
    <n v="0.05"/>
    <x v="294"/>
    <n v="24918.17"/>
    <x v="294"/>
    <x v="0"/>
    <x v="3"/>
    <x v="2"/>
    <x v="3"/>
    <n v="4"/>
    <s v="Q2"/>
    <n v="0.23362428223889181"/>
  </r>
  <r>
    <x v="295"/>
    <x v="105"/>
    <s v="CUST1104"/>
    <s v="Customer 1118"/>
    <x v="2"/>
    <s v="Mumbai"/>
    <x v="5"/>
    <x v="3"/>
    <n v="1"/>
    <n v="394"/>
    <n v="0.15"/>
    <x v="295"/>
    <n v="256.56"/>
    <x v="295"/>
    <x v="1"/>
    <x v="4"/>
    <x v="0"/>
    <x v="3"/>
    <n v="4"/>
    <s v="Q2"/>
    <n v="0.23392057330546434"/>
  </r>
  <r>
    <x v="296"/>
    <x v="105"/>
    <s v="CUST1276"/>
    <s v="Customer 1281"/>
    <x v="1"/>
    <s v="Hyderabad"/>
    <x v="5"/>
    <x v="3"/>
    <n v="1"/>
    <n v="279.02999999999997"/>
    <n v="0"/>
    <x v="296"/>
    <n v="242.58"/>
    <x v="296"/>
    <x v="1"/>
    <x v="3"/>
    <x v="2"/>
    <x v="3"/>
    <n v="4"/>
    <s v="Q2"/>
    <n v="0.13063111493387811"/>
  </r>
  <r>
    <x v="297"/>
    <x v="105"/>
    <s v="CUST1218"/>
    <s v="Customer 1137"/>
    <x v="1"/>
    <s v="Chennai"/>
    <x v="8"/>
    <x v="0"/>
    <n v="1"/>
    <n v="20534.64"/>
    <n v="0.02"/>
    <x v="297"/>
    <n v="16916.88"/>
    <x v="297"/>
    <x v="0"/>
    <x v="1"/>
    <x v="1"/>
    <x v="3"/>
    <n v="4"/>
    <s v="Q2"/>
    <n v="0.15936583026692075"/>
  </r>
  <r>
    <x v="298"/>
    <x v="105"/>
    <s v="CUST1162"/>
    <s v="Customer 1201"/>
    <x v="4"/>
    <s v="Jaipur"/>
    <x v="3"/>
    <x v="2"/>
    <n v="1"/>
    <n v="1178.9000000000001"/>
    <n v="0.02"/>
    <x v="298"/>
    <n v="839.51"/>
    <x v="298"/>
    <x v="0"/>
    <x v="4"/>
    <x v="2"/>
    <x v="3"/>
    <n v="4"/>
    <s v="Q2"/>
    <n v="0.27335283730914378"/>
  </r>
  <r>
    <x v="299"/>
    <x v="105"/>
    <s v="CUST1284"/>
    <s v="Customer 1075"/>
    <x v="3"/>
    <s v="Bhopal"/>
    <x v="0"/>
    <x v="0"/>
    <n v="3"/>
    <n v="6860.36"/>
    <n v="0.05"/>
    <x v="299"/>
    <n v="15492.37"/>
    <x v="299"/>
    <x v="0"/>
    <x v="3"/>
    <x v="1"/>
    <x v="3"/>
    <n v="4"/>
    <s v="Q2"/>
    <n v="0.20763368304979074"/>
  </r>
  <r>
    <x v="300"/>
    <x v="105"/>
    <s v="CUST1191"/>
    <s v="Customer 1170"/>
    <x v="1"/>
    <s v="Chennai"/>
    <x v="8"/>
    <x v="0"/>
    <n v="2"/>
    <n v="20590.66"/>
    <n v="0"/>
    <x v="300"/>
    <n v="30093.63"/>
    <x v="300"/>
    <x v="1"/>
    <x v="4"/>
    <x v="0"/>
    <x v="3"/>
    <n v="4"/>
    <s v="Q2"/>
    <n v="0.26924076255933516"/>
  </r>
  <r>
    <x v="301"/>
    <x v="105"/>
    <s v="CUST1228"/>
    <s v="Customer 1245"/>
    <x v="1"/>
    <s v="Chennai"/>
    <x v="5"/>
    <x v="3"/>
    <n v="1"/>
    <n v="204.43"/>
    <n v="0.1"/>
    <x v="301"/>
    <n v="175.15"/>
    <x v="301"/>
    <x v="0"/>
    <x v="2"/>
    <x v="1"/>
    <x v="3"/>
    <n v="4"/>
    <s v="Q2"/>
    <n v="4.8046089461383765E-2"/>
  </r>
  <r>
    <x v="302"/>
    <x v="105"/>
    <s v="CUST1263"/>
    <s v="Customer 1142"/>
    <x v="1"/>
    <s v="Bengaluru"/>
    <x v="10"/>
    <x v="0"/>
    <n v="3"/>
    <n v="35107.39"/>
    <n v="0"/>
    <x v="302"/>
    <n v="92063.79"/>
    <x v="302"/>
    <x v="0"/>
    <x v="0"/>
    <x v="2"/>
    <x v="3"/>
    <n v="4"/>
    <s v="Q2"/>
    <n v="0.12588403752030555"/>
  </r>
  <r>
    <x v="303"/>
    <x v="106"/>
    <s v="CUST1271"/>
    <s v="Customer 1258"/>
    <x v="4"/>
    <s v="Jaipur"/>
    <x v="7"/>
    <x v="4"/>
    <n v="2"/>
    <n v="834.85"/>
    <n v="0"/>
    <x v="303"/>
    <n v="1281.31"/>
    <x v="303"/>
    <x v="0"/>
    <x v="3"/>
    <x v="1"/>
    <x v="3"/>
    <n v="4"/>
    <s v="Q2"/>
    <n v="0.23261064861951247"/>
  </r>
  <r>
    <x v="304"/>
    <x v="106"/>
    <s v="CUST1046"/>
    <s v="Customer 1088"/>
    <x v="0"/>
    <s v="Patna"/>
    <x v="8"/>
    <x v="0"/>
    <n v="1"/>
    <n v="12988.66"/>
    <n v="0.1"/>
    <x v="304"/>
    <n v="9264.0499999999993"/>
    <x v="304"/>
    <x v="0"/>
    <x v="0"/>
    <x v="0"/>
    <x v="3"/>
    <n v="4"/>
    <s v="Q2"/>
    <n v="0.20750928801971633"/>
  </r>
  <r>
    <x v="305"/>
    <x v="106"/>
    <s v="CUST1094"/>
    <s v="Customer 1168"/>
    <x v="1"/>
    <s v="Bengaluru"/>
    <x v="5"/>
    <x v="3"/>
    <n v="1"/>
    <n v="119.44"/>
    <n v="0.1"/>
    <x v="305"/>
    <n v="102.81"/>
    <x v="305"/>
    <x v="0"/>
    <x v="1"/>
    <x v="0"/>
    <x v="3"/>
    <n v="4"/>
    <s v="Q2"/>
    <n v="4.3627906976744187E-2"/>
  </r>
  <r>
    <x v="306"/>
    <x v="107"/>
    <s v="CUST1005"/>
    <s v="Customer 1243"/>
    <x v="3"/>
    <s v="Bhopal"/>
    <x v="9"/>
    <x v="0"/>
    <n v="1"/>
    <n v="6333.59"/>
    <n v="0.15"/>
    <x v="306"/>
    <n v="4154.46"/>
    <x v="306"/>
    <x v="1"/>
    <x v="4"/>
    <x v="1"/>
    <x v="3"/>
    <n v="4"/>
    <s v="Q2"/>
    <n v="0.22830474315275234"/>
  </r>
  <r>
    <x v="307"/>
    <x v="107"/>
    <s v="CUST1168"/>
    <s v="Customer 1251"/>
    <x v="2"/>
    <s v="Ahmedabad"/>
    <x v="7"/>
    <x v="4"/>
    <n v="3"/>
    <n v="2376.5"/>
    <n v="0.02"/>
    <x v="307"/>
    <n v="4557.66"/>
    <x v="307"/>
    <x v="0"/>
    <x v="4"/>
    <x v="0"/>
    <x v="3"/>
    <n v="4"/>
    <s v="Q2"/>
    <n v="0.34768588689420649"/>
  </r>
  <r>
    <x v="308"/>
    <x v="107"/>
    <s v="CUST1233"/>
    <s v="Customer 1199"/>
    <x v="4"/>
    <s v="Delhi"/>
    <x v="0"/>
    <x v="0"/>
    <n v="1"/>
    <n v="19986.73"/>
    <n v="0.05"/>
    <x v="308"/>
    <n v="13053.74"/>
    <x v="308"/>
    <x v="0"/>
    <x v="3"/>
    <x v="2"/>
    <x v="3"/>
    <n v="4"/>
    <s v="Q2"/>
    <n v="0.31250477290454348"/>
  </r>
  <r>
    <x v="309"/>
    <x v="108"/>
    <s v="CUST1293"/>
    <s v="Customer 1244"/>
    <x v="2"/>
    <s v="Ahmedabad"/>
    <x v="2"/>
    <x v="0"/>
    <n v="3"/>
    <n v="68067.67"/>
    <n v="0.1"/>
    <x v="309"/>
    <n v="171634.35"/>
    <x v="309"/>
    <x v="0"/>
    <x v="2"/>
    <x v="0"/>
    <x v="3"/>
    <n v="4"/>
    <s v="Q2"/>
    <n v="6.610175679747024E-2"/>
  </r>
  <r>
    <x v="310"/>
    <x v="109"/>
    <s v="CUST1128"/>
    <s v="Customer 1211"/>
    <x v="4"/>
    <s v="Jaipur"/>
    <x v="8"/>
    <x v="0"/>
    <n v="4"/>
    <n v="18528.830000000002"/>
    <n v="0.05"/>
    <x v="310"/>
    <n v="59197.49"/>
    <x v="310"/>
    <x v="1"/>
    <x v="3"/>
    <x v="0"/>
    <x v="3"/>
    <n v="4"/>
    <s v="Q2"/>
    <n v="0.15924061437688494"/>
  </r>
  <r>
    <x v="311"/>
    <x v="109"/>
    <s v="CUST1247"/>
    <s v="Customer 1192"/>
    <x v="4"/>
    <s v="Delhi"/>
    <x v="10"/>
    <x v="0"/>
    <n v="1"/>
    <n v="44285.61"/>
    <n v="0.05"/>
    <x v="311"/>
    <n v="33413.08"/>
    <x v="311"/>
    <x v="1"/>
    <x v="1"/>
    <x v="2"/>
    <x v="3"/>
    <n v="4"/>
    <s v="Q2"/>
    <n v="0.20579929372330277"/>
  </r>
  <r>
    <x v="312"/>
    <x v="110"/>
    <s v="CUST1244"/>
    <s v="Customer 1152"/>
    <x v="3"/>
    <s v="Bhopal"/>
    <x v="5"/>
    <x v="3"/>
    <n v="2"/>
    <n v="204.33"/>
    <n v="0.1"/>
    <x v="312"/>
    <n v="330.34"/>
    <x v="312"/>
    <x v="0"/>
    <x v="2"/>
    <x v="2"/>
    <x v="4"/>
    <n v="5"/>
    <s v="Q2"/>
    <n v="0.10182441066913184"/>
  </r>
  <r>
    <x v="313"/>
    <x v="110"/>
    <s v="CUST1125"/>
    <s v="Customer 1170"/>
    <x v="3"/>
    <s v="Bhopal"/>
    <x v="5"/>
    <x v="3"/>
    <n v="1"/>
    <n v="152.99"/>
    <n v="0.02"/>
    <x v="313"/>
    <n v="101.81"/>
    <x v="313"/>
    <x v="0"/>
    <x v="0"/>
    <x v="1"/>
    <x v="4"/>
    <n v="5"/>
    <s v="Q2"/>
    <n v="0.32094977656239576"/>
  </r>
  <r>
    <x v="314"/>
    <x v="110"/>
    <s v="CUST1275"/>
    <s v="Customer 1120"/>
    <x v="0"/>
    <s v="Kolkata"/>
    <x v="5"/>
    <x v="3"/>
    <n v="4"/>
    <n v="85.76"/>
    <n v="0"/>
    <x v="314"/>
    <n v="239.87"/>
    <x v="314"/>
    <x v="0"/>
    <x v="3"/>
    <x v="0"/>
    <x v="4"/>
    <n v="5"/>
    <s v="Q2"/>
    <n v="0.30075209888059701"/>
  </r>
  <r>
    <x v="315"/>
    <x v="111"/>
    <s v="CUST1175"/>
    <s v="Customer 1179"/>
    <x v="2"/>
    <s v="Ahmedabad"/>
    <x v="11"/>
    <x v="4"/>
    <n v="1"/>
    <n v="1369.9"/>
    <n v="0.05"/>
    <x v="315"/>
    <n v="985.68"/>
    <x v="315"/>
    <x v="1"/>
    <x v="1"/>
    <x v="0"/>
    <x v="4"/>
    <n v="5"/>
    <s v="Q2"/>
    <n v="0.24260027662517289"/>
  </r>
  <r>
    <x v="316"/>
    <x v="111"/>
    <s v="CUST1167"/>
    <s v="Customer 1008"/>
    <x v="1"/>
    <s v="Hyderabad"/>
    <x v="0"/>
    <x v="0"/>
    <n v="1"/>
    <n v="18382.98"/>
    <n v="0.1"/>
    <x v="316"/>
    <n v="13756.21"/>
    <x v="316"/>
    <x v="1"/>
    <x v="3"/>
    <x v="0"/>
    <x v="4"/>
    <n v="5"/>
    <s v="Q2"/>
    <n v="0.16854179107725262"/>
  </r>
  <r>
    <x v="317"/>
    <x v="111"/>
    <s v="CUST1032"/>
    <s v="Customer 1222"/>
    <x v="2"/>
    <s v="Mumbai"/>
    <x v="5"/>
    <x v="3"/>
    <n v="3"/>
    <n v="143.19"/>
    <n v="0"/>
    <x v="317"/>
    <n v="338.46"/>
    <x v="317"/>
    <x v="1"/>
    <x v="0"/>
    <x v="0"/>
    <x v="4"/>
    <n v="5"/>
    <s v="Q2"/>
    <n v="0.21209581674697953"/>
  </r>
  <r>
    <x v="318"/>
    <x v="112"/>
    <s v="CUST1299"/>
    <s v="Customer 1283"/>
    <x v="1"/>
    <s v="Bengaluru"/>
    <x v="9"/>
    <x v="0"/>
    <n v="1"/>
    <n v="1992.05"/>
    <n v="0.1"/>
    <x v="318"/>
    <n v="1514.9"/>
    <x v="318"/>
    <x v="0"/>
    <x v="0"/>
    <x v="1"/>
    <x v="4"/>
    <n v="5"/>
    <s v="Q2"/>
    <n v="0.15503249016928355"/>
  </r>
  <r>
    <x v="319"/>
    <x v="113"/>
    <s v="CUST1106"/>
    <s v="Customer 1158"/>
    <x v="2"/>
    <s v="Pune"/>
    <x v="8"/>
    <x v="0"/>
    <n v="1"/>
    <n v="17638.43"/>
    <n v="0.1"/>
    <x v="319"/>
    <n v="11544.6"/>
    <x v="319"/>
    <x v="1"/>
    <x v="0"/>
    <x v="2"/>
    <x v="4"/>
    <n v="5"/>
    <s v="Q2"/>
    <n v="0.27276232016070967"/>
  </r>
  <r>
    <x v="320"/>
    <x v="114"/>
    <s v="CUST1113"/>
    <s v="Customer 1137"/>
    <x v="2"/>
    <s v="Ahmedabad"/>
    <x v="3"/>
    <x v="2"/>
    <n v="1"/>
    <n v="840.64"/>
    <n v="0.15"/>
    <x v="320"/>
    <n v="642.9"/>
    <x v="320"/>
    <x v="1"/>
    <x v="1"/>
    <x v="2"/>
    <x v="4"/>
    <n v="5"/>
    <s v="Q2"/>
    <n v="0.10026030733059031"/>
  </r>
  <r>
    <x v="321"/>
    <x v="114"/>
    <s v="CUST1013"/>
    <s v="Customer 1036"/>
    <x v="3"/>
    <s v="Bhopal"/>
    <x v="1"/>
    <x v="1"/>
    <n v="4"/>
    <n v="5556.15"/>
    <n v="0.1"/>
    <x v="321"/>
    <n v="15832.43"/>
    <x v="321"/>
    <x v="1"/>
    <x v="2"/>
    <x v="1"/>
    <x v="4"/>
    <n v="5"/>
    <s v="Q2"/>
    <n v="0.20846319443819511"/>
  </r>
  <r>
    <x v="322"/>
    <x v="114"/>
    <s v="CUST1051"/>
    <s v="Customer 1178"/>
    <x v="3"/>
    <s v="Indore"/>
    <x v="3"/>
    <x v="2"/>
    <n v="1"/>
    <n v="1244.3599999999999"/>
    <n v="0.15"/>
    <x v="322"/>
    <n v="888.03"/>
    <x v="322"/>
    <x v="1"/>
    <x v="2"/>
    <x v="2"/>
    <x v="4"/>
    <n v="5"/>
    <s v="Q2"/>
    <n v="0.16042204384944833"/>
  </r>
  <r>
    <x v="323"/>
    <x v="114"/>
    <s v="CUST1267"/>
    <s v="Customer 1140"/>
    <x v="3"/>
    <s v="Indore"/>
    <x v="10"/>
    <x v="0"/>
    <n v="1"/>
    <n v="22492.35"/>
    <n v="0.02"/>
    <x v="323"/>
    <n v="15020.03"/>
    <x v="323"/>
    <x v="1"/>
    <x v="2"/>
    <x v="1"/>
    <x v="4"/>
    <n v="5"/>
    <s v="Q2"/>
    <n v="0.31858772825224002"/>
  </r>
  <r>
    <x v="324"/>
    <x v="114"/>
    <s v="CUST1071"/>
    <s v="Customer 1243"/>
    <x v="3"/>
    <s v="Nagpur"/>
    <x v="8"/>
    <x v="0"/>
    <n v="1"/>
    <n v="24648.04"/>
    <n v="0.15"/>
    <x v="324"/>
    <n v="15350.18"/>
    <x v="324"/>
    <x v="0"/>
    <x v="0"/>
    <x v="0"/>
    <x v="4"/>
    <n v="5"/>
    <s v="Q2"/>
    <n v="0.26732353801734821"/>
  </r>
  <r>
    <x v="325"/>
    <x v="114"/>
    <s v="CUST1188"/>
    <s v="Customer 1254"/>
    <x v="3"/>
    <s v="Bhopal"/>
    <x v="11"/>
    <x v="4"/>
    <n v="2"/>
    <n v="728.63"/>
    <n v="0.05"/>
    <x v="325"/>
    <n v="934.96"/>
    <x v="325"/>
    <x v="1"/>
    <x v="0"/>
    <x v="2"/>
    <x v="4"/>
    <n v="5"/>
    <s v="Q2"/>
    <n v="0.32464605605316382"/>
  </r>
  <r>
    <x v="326"/>
    <x v="115"/>
    <s v="CUST1226"/>
    <s v="Customer 1221"/>
    <x v="2"/>
    <s v="Mumbai"/>
    <x v="1"/>
    <x v="1"/>
    <n v="3"/>
    <n v="10256.52"/>
    <n v="0"/>
    <x v="326"/>
    <n v="20647.5"/>
    <x v="326"/>
    <x v="1"/>
    <x v="1"/>
    <x v="0"/>
    <x v="4"/>
    <n v="5"/>
    <s v="Q2"/>
    <n v="0.32896343009129797"/>
  </r>
  <r>
    <x v="327"/>
    <x v="115"/>
    <s v="CUST1053"/>
    <s v="Customer 1283"/>
    <x v="0"/>
    <s v="Patna"/>
    <x v="10"/>
    <x v="0"/>
    <n v="2"/>
    <n v="27157.87"/>
    <n v="0"/>
    <x v="327"/>
    <n v="41426.79"/>
    <x v="327"/>
    <x v="0"/>
    <x v="0"/>
    <x v="1"/>
    <x v="4"/>
    <n v="5"/>
    <s v="Q2"/>
    <n v="0.23729677621993184"/>
  </r>
  <r>
    <x v="328"/>
    <x v="116"/>
    <s v="CUST1129"/>
    <s v="Customer 1058"/>
    <x v="0"/>
    <s v="Bhubaneswar"/>
    <x v="4"/>
    <x v="1"/>
    <n v="1"/>
    <n v="8261.19"/>
    <n v="0.15"/>
    <x v="328"/>
    <n v="5295.65"/>
    <x v="328"/>
    <x v="0"/>
    <x v="0"/>
    <x v="2"/>
    <x v="4"/>
    <n v="5"/>
    <s v="Q2"/>
    <n v="0.24584983501874816"/>
  </r>
  <r>
    <x v="329"/>
    <x v="116"/>
    <s v="CUST1197"/>
    <s v="Customer 1221"/>
    <x v="3"/>
    <s v="Nagpur"/>
    <x v="0"/>
    <x v="0"/>
    <n v="1"/>
    <n v="12572.94"/>
    <n v="0.02"/>
    <x v="329"/>
    <n v="8679.5499999999993"/>
    <x v="329"/>
    <x v="1"/>
    <x v="1"/>
    <x v="2"/>
    <x v="4"/>
    <n v="5"/>
    <s v="Q2"/>
    <n v="0.29557569382898807"/>
  </r>
  <r>
    <x v="330"/>
    <x v="116"/>
    <s v="CUST1114"/>
    <s v="Customer 1276"/>
    <x v="4"/>
    <s v="Lucknow"/>
    <x v="7"/>
    <x v="4"/>
    <n v="4"/>
    <n v="3159.99"/>
    <n v="0.1"/>
    <x v="330"/>
    <n v="7838.92"/>
    <x v="330"/>
    <x v="0"/>
    <x v="3"/>
    <x v="0"/>
    <x v="4"/>
    <n v="5"/>
    <s v="Q2"/>
    <n v="0.31092233095053079"/>
  </r>
  <r>
    <x v="331"/>
    <x v="116"/>
    <s v="CUST1217"/>
    <s v="Customer 1096"/>
    <x v="2"/>
    <s v="Pune"/>
    <x v="1"/>
    <x v="1"/>
    <n v="2"/>
    <n v="14219.13"/>
    <n v="0.1"/>
    <x v="331"/>
    <n v="23005.93"/>
    <x v="331"/>
    <x v="1"/>
    <x v="3"/>
    <x v="1"/>
    <x v="4"/>
    <n v="5"/>
    <s v="Q2"/>
    <n v="0.10113528607591574"/>
  </r>
  <r>
    <x v="332"/>
    <x v="116"/>
    <s v="CUST1082"/>
    <s v="Customer 1147"/>
    <x v="4"/>
    <s v="Lucknow"/>
    <x v="8"/>
    <x v="0"/>
    <n v="1"/>
    <n v="23418.39"/>
    <n v="0.1"/>
    <x v="332"/>
    <n v="16856.509999999998"/>
    <x v="332"/>
    <x v="1"/>
    <x v="4"/>
    <x v="0"/>
    <x v="4"/>
    <n v="5"/>
    <s v="Q2"/>
    <n v="0.20022442003079252"/>
  </r>
  <r>
    <x v="333"/>
    <x v="117"/>
    <s v="CUST1057"/>
    <s v="Customer 1181"/>
    <x v="4"/>
    <s v="Delhi"/>
    <x v="1"/>
    <x v="1"/>
    <n v="1"/>
    <n v="8594.91"/>
    <n v="0.05"/>
    <x v="333"/>
    <n v="7010.22"/>
    <x v="333"/>
    <x v="0"/>
    <x v="1"/>
    <x v="2"/>
    <x v="4"/>
    <n v="5"/>
    <s v="Q2"/>
    <n v="0.14144732007701014"/>
  </r>
  <r>
    <x v="334"/>
    <x v="117"/>
    <s v="CUST1089"/>
    <s v="Customer 1213"/>
    <x v="0"/>
    <s v="Bhubaneswar"/>
    <x v="10"/>
    <x v="0"/>
    <n v="1"/>
    <n v="46204.55"/>
    <n v="0.05"/>
    <x v="334"/>
    <n v="39085.08"/>
    <x v="334"/>
    <x v="1"/>
    <x v="0"/>
    <x v="1"/>
    <x v="4"/>
    <n v="5"/>
    <s v="Q2"/>
    <n v="0.10956406204720792"/>
  </r>
  <r>
    <x v="335"/>
    <x v="118"/>
    <s v="CUST1105"/>
    <s v="Customer 1027"/>
    <x v="4"/>
    <s v="Lucknow"/>
    <x v="7"/>
    <x v="4"/>
    <n v="2"/>
    <n v="3453.72"/>
    <n v="0.05"/>
    <x v="335"/>
    <n v="4539.54"/>
    <x v="335"/>
    <x v="1"/>
    <x v="2"/>
    <x v="2"/>
    <x v="4"/>
    <n v="5"/>
    <s v="Q2"/>
    <n v="0.30821524305592596"/>
  </r>
  <r>
    <x v="336"/>
    <x v="118"/>
    <s v="CUST1053"/>
    <s v="Customer 1172"/>
    <x v="1"/>
    <s v="Chennai"/>
    <x v="4"/>
    <x v="1"/>
    <n v="1"/>
    <n v="8622.4"/>
    <n v="0"/>
    <x v="336"/>
    <n v="5882.94"/>
    <x v="336"/>
    <x v="0"/>
    <x v="4"/>
    <x v="2"/>
    <x v="4"/>
    <n v="5"/>
    <s v="Q2"/>
    <n v="0.31771432547782524"/>
  </r>
  <r>
    <x v="337"/>
    <x v="119"/>
    <s v="CUST1237"/>
    <s v="Customer 1246"/>
    <x v="4"/>
    <s v="Delhi"/>
    <x v="3"/>
    <x v="2"/>
    <n v="3"/>
    <n v="469.47"/>
    <n v="0.1"/>
    <x v="337"/>
    <n v="933.75"/>
    <x v="337"/>
    <x v="0"/>
    <x v="3"/>
    <x v="1"/>
    <x v="4"/>
    <n v="5"/>
    <s v="Q2"/>
    <n v="0.26335429207065486"/>
  </r>
  <r>
    <x v="338"/>
    <x v="119"/>
    <s v="CUST1067"/>
    <s v="Customer 1293"/>
    <x v="1"/>
    <s v="Bengaluru"/>
    <x v="9"/>
    <x v="0"/>
    <n v="1"/>
    <n v="2447.16"/>
    <n v="0.05"/>
    <x v="338"/>
    <n v="1531.9"/>
    <x v="338"/>
    <x v="1"/>
    <x v="3"/>
    <x v="0"/>
    <x v="4"/>
    <n v="5"/>
    <s v="Q2"/>
    <n v="0.34106159669649"/>
  </r>
  <r>
    <x v="339"/>
    <x v="120"/>
    <s v="CUST1037"/>
    <s v="Customer 1132"/>
    <x v="4"/>
    <s v="Jaipur"/>
    <x v="8"/>
    <x v="0"/>
    <n v="1"/>
    <n v="9086.23"/>
    <n v="0"/>
    <x v="339"/>
    <n v="6617.73"/>
    <x v="339"/>
    <x v="1"/>
    <x v="0"/>
    <x v="0"/>
    <x v="4"/>
    <n v="5"/>
    <s v="Q2"/>
    <n v="0.27167483103553403"/>
  </r>
  <r>
    <x v="340"/>
    <x v="120"/>
    <s v="CUST1121"/>
    <s v="Customer 1197"/>
    <x v="3"/>
    <s v="Indore"/>
    <x v="2"/>
    <x v="0"/>
    <n v="2"/>
    <n v="72006.350000000006"/>
    <n v="0.15"/>
    <x v="340"/>
    <n v="114328.2"/>
    <x v="340"/>
    <x v="0"/>
    <x v="2"/>
    <x v="1"/>
    <x v="4"/>
    <n v="5"/>
    <s v="Q2"/>
    <n v="6.6028487682459391E-2"/>
  </r>
  <r>
    <x v="341"/>
    <x v="120"/>
    <s v="CUST1111"/>
    <s v="Customer 1132"/>
    <x v="3"/>
    <s v="Nagpur"/>
    <x v="8"/>
    <x v="0"/>
    <n v="1"/>
    <n v="15865.56"/>
    <n v="0.05"/>
    <x v="341"/>
    <n v="13946.57"/>
    <x v="341"/>
    <x v="0"/>
    <x v="2"/>
    <x v="1"/>
    <x v="4"/>
    <n v="5"/>
    <s v="Q2"/>
    <n v="7.4687439458396468E-2"/>
  </r>
  <r>
    <x v="342"/>
    <x v="120"/>
    <s v="CUST1048"/>
    <s v="Customer 1248"/>
    <x v="1"/>
    <s v="Chennai"/>
    <x v="10"/>
    <x v="0"/>
    <n v="2"/>
    <n v="29461.32"/>
    <n v="0.15"/>
    <x v="342"/>
    <n v="48949.06"/>
    <x v="342"/>
    <x v="1"/>
    <x v="4"/>
    <x v="1"/>
    <x v="4"/>
    <n v="5"/>
    <s v="Q2"/>
    <n v="2.2665413311652529E-2"/>
  </r>
  <r>
    <x v="343"/>
    <x v="121"/>
    <s v="CUST1059"/>
    <s v="Customer 1182"/>
    <x v="1"/>
    <s v="Hyderabad"/>
    <x v="4"/>
    <x v="1"/>
    <n v="4"/>
    <n v="16227.34"/>
    <n v="0.05"/>
    <x v="343"/>
    <n v="43068.19"/>
    <x v="343"/>
    <x v="0"/>
    <x v="1"/>
    <x v="0"/>
    <x v="4"/>
    <n v="5"/>
    <s v="Q2"/>
    <n v="0.30156547048848203"/>
  </r>
  <r>
    <x v="344"/>
    <x v="121"/>
    <s v="CUST1227"/>
    <s v="Customer 1189"/>
    <x v="4"/>
    <s v="Lucknow"/>
    <x v="2"/>
    <x v="0"/>
    <n v="2"/>
    <n v="55587.28"/>
    <n v="0.02"/>
    <x v="344"/>
    <n v="74991.22"/>
    <x v="344"/>
    <x v="0"/>
    <x v="3"/>
    <x v="0"/>
    <x v="4"/>
    <n v="5"/>
    <s v="Q2"/>
    <n v="0.31169817790683468"/>
  </r>
  <r>
    <x v="345"/>
    <x v="121"/>
    <s v="CUST1183"/>
    <s v="Customer 1062"/>
    <x v="3"/>
    <s v="Indore"/>
    <x v="4"/>
    <x v="1"/>
    <n v="3"/>
    <n v="11831.56"/>
    <n v="0.15"/>
    <x v="345"/>
    <n v="25578.9"/>
    <x v="345"/>
    <x v="1"/>
    <x v="3"/>
    <x v="1"/>
    <x v="4"/>
    <n v="5"/>
    <s v="Q2"/>
    <n v="0.15218783393568813"/>
  </r>
  <r>
    <x v="346"/>
    <x v="121"/>
    <s v="CUST1279"/>
    <s v="Customer 1137"/>
    <x v="0"/>
    <s v="Bhubaneswar"/>
    <x v="1"/>
    <x v="1"/>
    <n v="2"/>
    <n v="9889.7199999999993"/>
    <n v="0.1"/>
    <x v="346"/>
    <n v="15440.73"/>
    <x v="346"/>
    <x v="0"/>
    <x v="1"/>
    <x v="0"/>
    <x v="4"/>
    <n v="5"/>
    <s v="Q2"/>
    <n v="0.13261635255456"/>
  </r>
  <r>
    <x v="347"/>
    <x v="122"/>
    <s v="CUST1025"/>
    <s v="Customer 1185"/>
    <x v="2"/>
    <s v="Mumbai"/>
    <x v="10"/>
    <x v="0"/>
    <n v="3"/>
    <n v="47591.98"/>
    <n v="0.02"/>
    <x v="347"/>
    <n v="119181.13"/>
    <x v="347"/>
    <x v="1"/>
    <x v="1"/>
    <x v="2"/>
    <x v="4"/>
    <n v="5"/>
    <s v="Q2"/>
    <n v="0.14822203935637127"/>
  </r>
  <r>
    <x v="348"/>
    <x v="122"/>
    <s v="CUST1046"/>
    <s v="Customer 1050"/>
    <x v="1"/>
    <s v="Bengaluru"/>
    <x v="4"/>
    <x v="1"/>
    <n v="1"/>
    <n v="11596.07"/>
    <n v="0"/>
    <x v="348"/>
    <n v="8895.59"/>
    <x v="348"/>
    <x v="0"/>
    <x v="2"/>
    <x v="1"/>
    <x v="4"/>
    <n v="5"/>
    <s v="Q2"/>
    <n v="0.23287889776450127"/>
  </r>
  <r>
    <x v="349"/>
    <x v="122"/>
    <s v="CUST1224"/>
    <s v="Customer 1153"/>
    <x v="2"/>
    <s v="Ahmedabad"/>
    <x v="11"/>
    <x v="4"/>
    <n v="1"/>
    <n v="528.80999999999995"/>
    <n v="0"/>
    <x v="349"/>
    <n v="344.39"/>
    <x v="349"/>
    <x v="1"/>
    <x v="2"/>
    <x v="2"/>
    <x v="4"/>
    <n v="5"/>
    <s v="Q2"/>
    <n v="0.34874529604205673"/>
  </r>
  <r>
    <x v="350"/>
    <x v="122"/>
    <s v="CUST1067"/>
    <s v="Customer 1007"/>
    <x v="4"/>
    <s v="Jaipur"/>
    <x v="11"/>
    <x v="4"/>
    <n v="1"/>
    <n v="1889.66"/>
    <n v="0.02"/>
    <x v="350"/>
    <n v="1598.08"/>
    <x v="350"/>
    <x v="0"/>
    <x v="0"/>
    <x v="2"/>
    <x v="4"/>
    <n v="5"/>
    <s v="Q2"/>
    <n v="0.13704525695648184"/>
  </r>
  <r>
    <x v="351"/>
    <x v="122"/>
    <s v="CUST1108"/>
    <s v="Customer 1018"/>
    <x v="2"/>
    <s v="Ahmedabad"/>
    <x v="4"/>
    <x v="1"/>
    <n v="4"/>
    <n v="10584.91"/>
    <n v="0.15"/>
    <x v="351"/>
    <n v="34162.68"/>
    <x v="351"/>
    <x v="0"/>
    <x v="0"/>
    <x v="1"/>
    <x v="4"/>
    <n v="5"/>
    <s v="Q2"/>
    <n v="5.0738440326669292E-2"/>
  </r>
  <r>
    <x v="352"/>
    <x v="122"/>
    <s v="CUST1148"/>
    <s v="Customer 1071"/>
    <x v="4"/>
    <s v="Jaipur"/>
    <x v="11"/>
    <x v="4"/>
    <n v="1"/>
    <n v="1645.39"/>
    <n v="0.15"/>
    <x v="352"/>
    <n v="1218.73"/>
    <x v="352"/>
    <x v="1"/>
    <x v="1"/>
    <x v="1"/>
    <x v="4"/>
    <n v="5"/>
    <s v="Q2"/>
    <n v="0.12859471749917775"/>
  </r>
  <r>
    <x v="353"/>
    <x v="123"/>
    <s v="CUST1042"/>
    <s v="Customer 1164"/>
    <x v="3"/>
    <s v="Indore"/>
    <x v="2"/>
    <x v="0"/>
    <n v="2"/>
    <n v="67513"/>
    <n v="0.15"/>
    <x v="353"/>
    <n v="107421.29"/>
    <x v="353"/>
    <x v="1"/>
    <x v="1"/>
    <x v="1"/>
    <x v="4"/>
    <n v="5"/>
    <s v="Q2"/>
    <n v="6.4047011425250558E-2"/>
  </r>
  <r>
    <x v="354"/>
    <x v="123"/>
    <s v="CUST1222"/>
    <s v="Customer 1156"/>
    <x v="0"/>
    <s v="Kolkata"/>
    <x v="10"/>
    <x v="0"/>
    <n v="4"/>
    <n v="29796.240000000002"/>
    <n v="0.15"/>
    <x v="354"/>
    <n v="80405.820000000007"/>
    <x v="354"/>
    <x v="0"/>
    <x v="4"/>
    <x v="1"/>
    <x v="4"/>
    <n v="5"/>
    <s v="Q2"/>
    <n v="0.20631698313308766"/>
  </r>
  <r>
    <x v="355"/>
    <x v="123"/>
    <s v="CUST1024"/>
    <s v="Customer 1028"/>
    <x v="3"/>
    <s v="Bhopal"/>
    <x v="2"/>
    <x v="0"/>
    <n v="1"/>
    <n v="65698.080000000002"/>
    <n v="0.15"/>
    <x v="355"/>
    <n v="45611.74"/>
    <x v="355"/>
    <x v="0"/>
    <x v="1"/>
    <x v="0"/>
    <x v="4"/>
    <n v="5"/>
    <s v="Q2"/>
    <n v="0.18322013875595256"/>
  </r>
  <r>
    <x v="356"/>
    <x v="123"/>
    <s v="CUST1207"/>
    <s v="Customer 1177"/>
    <x v="1"/>
    <s v="Bengaluru"/>
    <x v="5"/>
    <x v="3"/>
    <n v="3"/>
    <n v="300.51"/>
    <n v="0"/>
    <x v="356"/>
    <n v="743.11"/>
    <x v="356"/>
    <x v="1"/>
    <x v="1"/>
    <x v="2"/>
    <x v="4"/>
    <n v="5"/>
    <s v="Q2"/>
    <n v="0.17572349228533715"/>
  </r>
  <r>
    <x v="357"/>
    <x v="123"/>
    <s v="CUST1228"/>
    <s v="Customer 1111"/>
    <x v="2"/>
    <s v="Mumbai"/>
    <x v="5"/>
    <x v="3"/>
    <n v="1"/>
    <n v="80.430000000000007"/>
    <n v="0.15"/>
    <x v="357"/>
    <n v="63.39"/>
    <x v="357"/>
    <x v="1"/>
    <x v="0"/>
    <x v="2"/>
    <x v="4"/>
    <n v="5"/>
    <s v="Q2"/>
    <n v="7.2838964458095651E-2"/>
  </r>
  <r>
    <x v="358"/>
    <x v="124"/>
    <s v="CUST1006"/>
    <s v="Customer 1109"/>
    <x v="1"/>
    <s v="Bengaluru"/>
    <x v="6"/>
    <x v="2"/>
    <n v="1"/>
    <n v="1605.9"/>
    <n v="0"/>
    <x v="358"/>
    <n v="1038.48"/>
    <x v="358"/>
    <x v="1"/>
    <x v="0"/>
    <x v="1"/>
    <x v="4"/>
    <n v="5"/>
    <s v="Q2"/>
    <n v="0.35333457874089291"/>
  </r>
  <r>
    <x v="359"/>
    <x v="124"/>
    <s v="CUST1182"/>
    <s v="Customer 1001"/>
    <x v="2"/>
    <s v="Ahmedabad"/>
    <x v="7"/>
    <x v="4"/>
    <n v="2"/>
    <n v="935.66"/>
    <n v="0"/>
    <x v="359"/>
    <n v="1575.23"/>
    <x v="359"/>
    <x v="0"/>
    <x v="1"/>
    <x v="2"/>
    <x v="4"/>
    <n v="5"/>
    <s v="Q2"/>
    <n v="0.1582252100121839"/>
  </r>
  <r>
    <x v="360"/>
    <x v="125"/>
    <s v="CUST1025"/>
    <s v="Customer 1068"/>
    <x v="2"/>
    <s v="Ahmedabad"/>
    <x v="3"/>
    <x v="2"/>
    <n v="1"/>
    <n v="306.42"/>
    <n v="0.15"/>
    <x v="360"/>
    <n v="258.85000000000002"/>
    <x v="360"/>
    <x v="1"/>
    <x v="3"/>
    <x v="2"/>
    <x v="4"/>
    <n v="5"/>
    <s v="Q2"/>
    <n v="6.1813714197957465E-3"/>
  </r>
  <r>
    <x v="361"/>
    <x v="125"/>
    <s v="CUST1184"/>
    <s v="Customer 1273"/>
    <x v="2"/>
    <s v="Pune"/>
    <x v="4"/>
    <x v="1"/>
    <n v="1"/>
    <n v="11806.83"/>
    <n v="0.15"/>
    <x v="361"/>
    <n v="9765.2199999999993"/>
    <x v="361"/>
    <x v="0"/>
    <x v="4"/>
    <x v="0"/>
    <x v="4"/>
    <n v="5"/>
    <s v="Q2"/>
    <n v="2.6962447475589912E-2"/>
  </r>
  <r>
    <x v="362"/>
    <x v="125"/>
    <s v="CUST1208"/>
    <s v="Customer 1125"/>
    <x v="3"/>
    <s v="Bhopal"/>
    <x v="7"/>
    <x v="4"/>
    <n v="2"/>
    <n v="1638.56"/>
    <n v="0"/>
    <x v="362"/>
    <n v="2620.54"/>
    <x v="362"/>
    <x v="0"/>
    <x v="3"/>
    <x v="2"/>
    <x v="4"/>
    <n v="5"/>
    <s v="Q2"/>
    <n v="0.20035274875500442"/>
  </r>
  <r>
    <x v="363"/>
    <x v="125"/>
    <s v="CUST1021"/>
    <s v="Customer 1234"/>
    <x v="2"/>
    <s v="Ahmedabad"/>
    <x v="5"/>
    <x v="3"/>
    <n v="4"/>
    <n v="296.66000000000003"/>
    <n v="0.02"/>
    <x v="363"/>
    <n v="983.54"/>
    <x v="363"/>
    <x v="0"/>
    <x v="1"/>
    <x v="1"/>
    <x v="4"/>
    <n v="5"/>
    <s v="Q2"/>
    <n v="0.15424237473235244"/>
  </r>
  <r>
    <x v="364"/>
    <x v="125"/>
    <s v="CUST1180"/>
    <s v="Customer 1200"/>
    <x v="1"/>
    <s v="Bengaluru"/>
    <x v="5"/>
    <x v="3"/>
    <n v="4"/>
    <n v="359.37"/>
    <n v="0.05"/>
    <x v="364"/>
    <n v="1044.79"/>
    <x v="364"/>
    <x v="1"/>
    <x v="1"/>
    <x v="0"/>
    <x v="4"/>
    <n v="5"/>
    <s v="Q2"/>
    <n v="0.2349279809023074"/>
  </r>
  <r>
    <x v="365"/>
    <x v="126"/>
    <s v="CUST1271"/>
    <s v="Customer 1289"/>
    <x v="0"/>
    <s v="Kolkata"/>
    <x v="4"/>
    <x v="1"/>
    <n v="3"/>
    <n v="13072.07"/>
    <n v="0"/>
    <x v="365"/>
    <n v="32893.629999999997"/>
    <x v="365"/>
    <x v="0"/>
    <x v="3"/>
    <x v="1"/>
    <x v="4"/>
    <n v="5"/>
    <s v="Q2"/>
    <n v="0.16122363685832977"/>
  </r>
  <r>
    <x v="366"/>
    <x v="126"/>
    <s v="CUST1052"/>
    <s v="Customer 1195"/>
    <x v="4"/>
    <s v="Delhi"/>
    <x v="2"/>
    <x v="0"/>
    <n v="1"/>
    <n v="66182.73"/>
    <n v="0.02"/>
    <x v="366"/>
    <n v="53828.84"/>
    <x v="366"/>
    <x v="0"/>
    <x v="0"/>
    <x v="1"/>
    <x v="4"/>
    <n v="5"/>
    <s v="Q2"/>
    <n v="0.17006470027018575"/>
  </r>
  <r>
    <x v="367"/>
    <x v="126"/>
    <s v="CUST1174"/>
    <s v="Customer 1029"/>
    <x v="2"/>
    <s v="Mumbai"/>
    <x v="0"/>
    <x v="0"/>
    <n v="2"/>
    <n v="11294.64"/>
    <n v="0.05"/>
    <x v="367"/>
    <n v="17137.59"/>
    <x v="367"/>
    <x v="1"/>
    <x v="4"/>
    <x v="2"/>
    <x v="4"/>
    <n v="5"/>
    <s v="Q2"/>
    <n v="0.20141035665723198"/>
  </r>
  <r>
    <x v="368"/>
    <x v="126"/>
    <s v="CUST1149"/>
    <s v="Customer 1115"/>
    <x v="3"/>
    <s v="Nagpur"/>
    <x v="9"/>
    <x v="0"/>
    <n v="1"/>
    <n v="4768.2"/>
    <n v="0"/>
    <x v="368"/>
    <n v="3246.91"/>
    <x v="368"/>
    <x v="0"/>
    <x v="1"/>
    <x v="2"/>
    <x v="4"/>
    <n v="5"/>
    <s v="Q2"/>
    <n v="0.3190491170672371"/>
  </r>
  <r>
    <x v="369"/>
    <x v="126"/>
    <s v="CUST1195"/>
    <s v="Customer 1015"/>
    <x v="3"/>
    <s v="Nagpur"/>
    <x v="4"/>
    <x v="1"/>
    <n v="4"/>
    <n v="10132.08"/>
    <n v="0.05"/>
    <x v="369"/>
    <n v="32178.99"/>
    <x v="369"/>
    <x v="1"/>
    <x v="0"/>
    <x v="0"/>
    <x v="4"/>
    <n v="5"/>
    <s v="Q2"/>
    <n v="0.16422332404374848"/>
  </r>
  <r>
    <x v="370"/>
    <x v="127"/>
    <s v="CUST1155"/>
    <s v="Customer 1262"/>
    <x v="0"/>
    <s v="Patna"/>
    <x v="1"/>
    <x v="1"/>
    <n v="2"/>
    <n v="10071.11"/>
    <n v="0.1"/>
    <x v="370"/>
    <n v="16398.12"/>
    <x v="370"/>
    <x v="1"/>
    <x v="4"/>
    <x v="0"/>
    <x v="4"/>
    <n v="5"/>
    <s v="Q2"/>
    <n v="9.5425860547219771E-2"/>
  </r>
  <r>
    <x v="371"/>
    <x v="127"/>
    <s v="CUST1268"/>
    <s v="Customer 1037"/>
    <x v="3"/>
    <s v="Indore"/>
    <x v="9"/>
    <x v="0"/>
    <n v="1"/>
    <n v="7341.92"/>
    <n v="0.15"/>
    <x v="371"/>
    <n v="4951.82"/>
    <x v="371"/>
    <x v="0"/>
    <x v="4"/>
    <x v="0"/>
    <x v="4"/>
    <n v="5"/>
    <s v="Q2"/>
    <n v="0.20651921360503667"/>
  </r>
  <r>
    <x v="372"/>
    <x v="127"/>
    <s v="CUST1093"/>
    <s v="Customer 1114"/>
    <x v="1"/>
    <s v="Bengaluru"/>
    <x v="4"/>
    <x v="1"/>
    <n v="1"/>
    <n v="7717.76"/>
    <n v="0.1"/>
    <x v="372"/>
    <n v="5267.09"/>
    <x v="372"/>
    <x v="0"/>
    <x v="4"/>
    <x v="2"/>
    <x v="4"/>
    <n v="5"/>
    <s v="Q2"/>
    <n v="0.24170671381144204"/>
  </r>
  <r>
    <x v="373"/>
    <x v="128"/>
    <s v="CUST1044"/>
    <s v="Customer 1144"/>
    <x v="2"/>
    <s v="Mumbai"/>
    <x v="11"/>
    <x v="4"/>
    <n v="1"/>
    <n v="937.06"/>
    <n v="0"/>
    <x v="373"/>
    <n v="803.61"/>
    <x v="373"/>
    <x v="1"/>
    <x v="3"/>
    <x v="1"/>
    <x v="4"/>
    <n v="5"/>
    <s v="Q2"/>
    <n v="0.1424135060721832"/>
  </r>
  <r>
    <x v="374"/>
    <x v="129"/>
    <s v="CUST1166"/>
    <s v="Customer 1261"/>
    <x v="4"/>
    <s v="Lucknow"/>
    <x v="1"/>
    <x v="1"/>
    <n v="2"/>
    <n v="11529.61"/>
    <n v="0.05"/>
    <x v="374"/>
    <n v="15524.59"/>
    <x v="374"/>
    <x v="1"/>
    <x v="1"/>
    <x v="1"/>
    <x v="4"/>
    <n v="5"/>
    <s v="Q2"/>
    <n v="0.29131718513338201"/>
  </r>
  <r>
    <x v="375"/>
    <x v="129"/>
    <s v="CUST1101"/>
    <s v="Customer 1244"/>
    <x v="0"/>
    <s v="Bhubaneswar"/>
    <x v="4"/>
    <x v="1"/>
    <n v="1"/>
    <n v="17251.03"/>
    <n v="0.05"/>
    <x v="375"/>
    <n v="14222.3"/>
    <x v="375"/>
    <x v="0"/>
    <x v="4"/>
    <x v="2"/>
    <x v="4"/>
    <n v="5"/>
    <s v="Q2"/>
    <n v="0.13217699261920568"/>
  </r>
  <r>
    <x v="376"/>
    <x v="130"/>
    <s v="CUST1028"/>
    <s v="Customer 1066"/>
    <x v="2"/>
    <s v="Mumbai"/>
    <x v="1"/>
    <x v="1"/>
    <n v="2"/>
    <n v="10952.98"/>
    <n v="0.02"/>
    <x v="376"/>
    <n v="14124.26"/>
    <x v="376"/>
    <x v="1"/>
    <x v="3"/>
    <x v="0"/>
    <x v="4"/>
    <n v="5"/>
    <s v="Q2"/>
    <n v="0.34207353883762875"/>
  </r>
  <r>
    <x v="377"/>
    <x v="130"/>
    <s v="CUST1086"/>
    <s v="Customer 1153"/>
    <x v="0"/>
    <s v="Kolkata"/>
    <x v="4"/>
    <x v="1"/>
    <n v="2"/>
    <n v="5020.82"/>
    <n v="0.15"/>
    <x v="377"/>
    <n v="8527.0300000000007"/>
    <x v="377"/>
    <x v="0"/>
    <x v="3"/>
    <x v="1"/>
    <x v="4"/>
    <n v="5"/>
    <s v="Q2"/>
    <n v="9.794514368997784E-4"/>
  </r>
  <r>
    <x v="378"/>
    <x v="130"/>
    <s v="CUST1229"/>
    <s v="Customer 1064"/>
    <x v="4"/>
    <s v="Jaipur"/>
    <x v="11"/>
    <x v="4"/>
    <n v="2"/>
    <n v="916.97"/>
    <n v="0.15"/>
    <x v="378"/>
    <n v="1289.8800000000001"/>
    <x v="378"/>
    <x v="1"/>
    <x v="0"/>
    <x v="0"/>
    <x v="4"/>
    <n v="5"/>
    <s v="Q2"/>
    <n v="0.17254386246271292"/>
  </r>
  <r>
    <x v="379"/>
    <x v="130"/>
    <s v="CUST1061"/>
    <s v="Customer 1273"/>
    <x v="0"/>
    <s v="Kolkata"/>
    <x v="9"/>
    <x v="0"/>
    <n v="2"/>
    <n v="4514.78"/>
    <n v="0.02"/>
    <x v="379"/>
    <n v="7099.41"/>
    <x v="379"/>
    <x v="1"/>
    <x v="4"/>
    <x v="1"/>
    <x v="4"/>
    <n v="5"/>
    <s v="Q2"/>
    <n v="0.19771340619303718"/>
  </r>
  <r>
    <x v="380"/>
    <x v="130"/>
    <s v="CUST1085"/>
    <s v="Customer 1078"/>
    <x v="0"/>
    <s v="Kolkata"/>
    <x v="4"/>
    <x v="1"/>
    <n v="2"/>
    <n v="14996.84"/>
    <n v="0.02"/>
    <x v="380"/>
    <n v="25221.94"/>
    <x v="380"/>
    <x v="1"/>
    <x v="0"/>
    <x v="2"/>
    <x v="4"/>
    <n v="5"/>
    <s v="Q2"/>
    <n v="0.14193022272376393"/>
  </r>
  <r>
    <x v="381"/>
    <x v="131"/>
    <s v="CUST1128"/>
    <s v="Customer 1042"/>
    <x v="2"/>
    <s v="Pune"/>
    <x v="6"/>
    <x v="2"/>
    <n v="1"/>
    <n v="3241.49"/>
    <n v="0.15"/>
    <x v="381"/>
    <n v="2025.22"/>
    <x v="381"/>
    <x v="0"/>
    <x v="0"/>
    <x v="1"/>
    <x v="4"/>
    <n v="5"/>
    <s v="Q2"/>
    <n v="0.26496495806218628"/>
  </r>
  <r>
    <x v="382"/>
    <x v="131"/>
    <s v="CUST1159"/>
    <s v="Customer 1125"/>
    <x v="3"/>
    <s v="Bhopal"/>
    <x v="11"/>
    <x v="4"/>
    <n v="3"/>
    <n v="1687.68"/>
    <n v="0.1"/>
    <x v="382"/>
    <n v="3787.44"/>
    <x v="382"/>
    <x v="0"/>
    <x v="3"/>
    <x v="0"/>
    <x v="4"/>
    <n v="5"/>
    <s v="Q2"/>
    <n v="0.16882683672976734"/>
  </r>
  <r>
    <x v="383"/>
    <x v="132"/>
    <s v="CUST1064"/>
    <s v="Customer 1091"/>
    <x v="3"/>
    <s v="Indore"/>
    <x v="7"/>
    <x v="4"/>
    <n v="2"/>
    <n v="1199.56"/>
    <n v="0"/>
    <x v="383"/>
    <n v="1930.88"/>
    <x v="383"/>
    <x v="1"/>
    <x v="2"/>
    <x v="2"/>
    <x v="4"/>
    <n v="5"/>
    <s v="Q2"/>
    <n v="0.19517156290639903"/>
  </r>
  <r>
    <x v="384"/>
    <x v="132"/>
    <s v="CUST1210"/>
    <s v="Customer 1296"/>
    <x v="0"/>
    <s v="Bhubaneswar"/>
    <x v="2"/>
    <x v="0"/>
    <n v="1"/>
    <n v="61776.02"/>
    <n v="0.15"/>
    <x v="384"/>
    <n v="45069.19"/>
    <x v="384"/>
    <x v="0"/>
    <x v="4"/>
    <x v="0"/>
    <x v="4"/>
    <n v="5"/>
    <s v="Q2"/>
    <n v="0.14169651199151698"/>
  </r>
  <r>
    <x v="385"/>
    <x v="132"/>
    <s v="CUST1148"/>
    <s v="Customer 1199"/>
    <x v="3"/>
    <s v="Indore"/>
    <x v="8"/>
    <x v="0"/>
    <n v="2"/>
    <n v="15845.14"/>
    <n v="0.05"/>
    <x v="385"/>
    <n v="25507.47"/>
    <x v="385"/>
    <x v="0"/>
    <x v="0"/>
    <x v="0"/>
    <x v="4"/>
    <n v="5"/>
    <s v="Q2"/>
    <n v="0.15273816281729383"/>
  </r>
  <r>
    <x v="386"/>
    <x v="132"/>
    <s v="CUST1279"/>
    <s v="Customer 1009"/>
    <x v="4"/>
    <s v="Delhi"/>
    <x v="0"/>
    <x v="0"/>
    <n v="2"/>
    <n v="13161.12"/>
    <n v="0.15"/>
    <x v="386"/>
    <n v="18391.259999999998"/>
    <x v="386"/>
    <x v="0"/>
    <x v="2"/>
    <x v="0"/>
    <x v="4"/>
    <n v="5"/>
    <s v="Q2"/>
    <n v="0.17800383482539922"/>
  </r>
  <r>
    <x v="387"/>
    <x v="133"/>
    <s v="CUST1108"/>
    <s v="Customer 1084"/>
    <x v="1"/>
    <s v="Hyderabad"/>
    <x v="4"/>
    <x v="1"/>
    <n v="2"/>
    <n v="6000.73"/>
    <n v="0.1"/>
    <x v="387"/>
    <n v="8368.57"/>
    <x v="387"/>
    <x v="1"/>
    <x v="2"/>
    <x v="1"/>
    <x v="4"/>
    <n v="5"/>
    <s v="Q2"/>
    <n v="0.22522638457742625"/>
  </r>
  <r>
    <x v="388"/>
    <x v="133"/>
    <s v="CUST1118"/>
    <s v="Customer 1063"/>
    <x v="1"/>
    <s v="Chennai"/>
    <x v="7"/>
    <x v="4"/>
    <n v="1"/>
    <n v="2190.9699999999998"/>
    <n v="0.1"/>
    <x v="388"/>
    <n v="1619.87"/>
    <x v="388"/>
    <x v="1"/>
    <x v="0"/>
    <x v="2"/>
    <x v="4"/>
    <n v="5"/>
    <s v="Q2"/>
    <n v="0.17851075375151507"/>
  </r>
  <r>
    <x v="389"/>
    <x v="134"/>
    <s v="CUST1116"/>
    <s v="Customer 1214"/>
    <x v="2"/>
    <s v="Ahmedabad"/>
    <x v="4"/>
    <x v="1"/>
    <n v="3"/>
    <n v="6391.74"/>
    <n v="0"/>
    <x v="389"/>
    <n v="15526.66"/>
    <x v="389"/>
    <x v="1"/>
    <x v="3"/>
    <x v="0"/>
    <x v="4"/>
    <n v="5"/>
    <s v="Q2"/>
    <n v="0.190274740002983"/>
  </r>
  <r>
    <x v="390"/>
    <x v="134"/>
    <s v="CUST1278"/>
    <s v="Customer 1265"/>
    <x v="2"/>
    <s v="Mumbai"/>
    <x v="3"/>
    <x v="2"/>
    <n v="2"/>
    <n v="1399.97"/>
    <n v="0"/>
    <x v="390"/>
    <n v="2225.0100000000002"/>
    <x v="390"/>
    <x v="1"/>
    <x v="0"/>
    <x v="2"/>
    <x v="4"/>
    <n v="5"/>
    <s v="Q2"/>
    <n v="0.20533654292591982"/>
  </r>
  <r>
    <x v="391"/>
    <x v="134"/>
    <s v="CUST1204"/>
    <s v="Customer 1267"/>
    <x v="2"/>
    <s v="Pune"/>
    <x v="9"/>
    <x v="0"/>
    <n v="2"/>
    <n v="3224.18"/>
    <n v="0"/>
    <x v="391"/>
    <n v="5149.57"/>
    <x v="391"/>
    <x v="0"/>
    <x v="2"/>
    <x v="0"/>
    <x v="4"/>
    <n v="5"/>
    <s v="Q2"/>
    <n v="0.2014140029402825"/>
  </r>
  <r>
    <x v="392"/>
    <x v="134"/>
    <s v="CUST1066"/>
    <s v="Customer 1234"/>
    <x v="4"/>
    <s v="Jaipur"/>
    <x v="5"/>
    <x v="3"/>
    <n v="3"/>
    <n v="251.4"/>
    <n v="0.02"/>
    <x v="392"/>
    <n v="598.34"/>
    <x v="392"/>
    <x v="1"/>
    <x v="3"/>
    <x v="2"/>
    <x v="4"/>
    <n v="5"/>
    <s v="Q2"/>
    <n v="0.19046974780820436"/>
  </r>
  <r>
    <x v="393"/>
    <x v="135"/>
    <s v="CUST1247"/>
    <s v="Customer 1267"/>
    <x v="2"/>
    <s v="Mumbai"/>
    <x v="0"/>
    <x v="0"/>
    <n v="3"/>
    <n v="9374.18"/>
    <n v="0.05"/>
    <x v="393"/>
    <n v="24358.52"/>
    <x v="393"/>
    <x v="1"/>
    <x v="1"/>
    <x v="1"/>
    <x v="4"/>
    <n v="5"/>
    <s v="Q2"/>
    <n v="8.8256244008832016E-2"/>
  </r>
  <r>
    <x v="394"/>
    <x v="135"/>
    <s v="CUST1083"/>
    <s v="Customer 1110"/>
    <x v="0"/>
    <s v="Patna"/>
    <x v="3"/>
    <x v="2"/>
    <n v="1"/>
    <n v="807.06"/>
    <n v="0.02"/>
    <x v="394"/>
    <n v="703.13"/>
    <x v="394"/>
    <x v="1"/>
    <x v="1"/>
    <x v="1"/>
    <x v="4"/>
    <n v="5"/>
    <s v="Q2"/>
    <n v="0.11099731957720124"/>
  </r>
  <r>
    <x v="395"/>
    <x v="135"/>
    <s v="CUST1132"/>
    <s v="Customer 1059"/>
    <x v="0"/>
    <s v="Bhubaneswar"/>
    <x v="6"/>
    <x v="2"/>
    <n v="1"/>
    <n v="2652.5"/>
    <n v="0"/>
    <x v="395"/>
    <n v="1878.3"/>
    <x v="395"/>
    <x v="1"/>
    <x v="4"/>
    <x v="2"/>
    <x v="4"/>
    <n v="5"/>
    <s v="Q2"/>
    <n v="0.29187558906691802"/>
  </r>
  <r>
    <x v="396"/>
    <x v="135"/>
    <s v="CUST1293"/>
    <s v="Customer 1143"/>
    <x v="1"/>
    <s v="Bengaluru"/>
    <x v="2"/>
    <x v="0"/>
    <n v="1"/>
    <n v="69737.47"/>
    <n v="0"/>
    <x v="396"/>
    <n v="47167.1"/>
    <x v="396"/>
    <x v="1"/>
    <x v="4"/>
    <x v="2"/>
    <x v="4"/>
    <n v="5"/>
    <s v="Q2"/>
    <n v="0.32364767462886163"/>
  </r>
  <r>
    <x v="397"/>
    <x v="135"/>
    <s v="CUST1246"/>
    <s v="Customer 1262"/>
    <x v="0"/>
    <s v="Kolkata"/>
    <x v="1"/>
    <x v="1"/>
    <n v="1"/>
    <n v="11424.96"/>
    <n v="0.15"/>
    <x v="397"/>
    <n v="7827.11"/>
    <x v="397"/>
    <x v="0"/>
    <x v="4"/>
    <x v="2"/>
    <x v="4"/>
    <n v="5"/>
    <s v="Q2"/>
    <n v="0.19401372845018444"/>
  </r>
  <r>
    <x v="398"/>
    <x v="136"/>
    <s v="CUST1085"/>
    <s v="Customer 1147"/>
    <x v="3"/>
    <s v="Bhopal"/>
    <x v="4"/>
    <x v="1"/>
    <n v="4"/>
    <n v="16652.37"/>
    <n v="0.02"/>
    <x v="398"/>
    <n v="42778.75"/>
    <x v="398"/>
    <x v="0"/>
    <x v="3"/>
    <x v="2"/>
    <x v="4"/>
    <n v="5"/>
    <s v="Q2"/>
    <n v="0.34466106053115869"/>
  </r>
  <r>
    <x v="399"/>
    <x v="136"/>
    <s v="CUST1207"/>
    <s v="Customer 1255"/>
    <x v="3"/>
    <s v="Indore"/>
    <x v="11"/>
    <x v="4"/>
    <n v="4"/>
    <n v="1622.2"/>
    <n v="0.02"/>
    <x v="399"/>
    <n v="5346.05"/>
    <x v="399"/>
    <x v="1"/>
    <x v="0"/>
    <x v="0"/>
    <x v="4"/>
    <n v="5"/>
    <s v="Q2"/>
    <n v="0.15929655827470271"/>
  </r>
  <r>
    <x v="400"/>
    <x v="137"/>
    <s v="CUST1061"/>
    <s v="Customer 1018"/>
    <x v="3"/>
    <s v="Bhopal"/>
    <x v="11"/>
    <x v="4"/>
    <n v="2"/>
    <n v="2141.9299999999998"/>
    <n v="0"/>
    <x v="400"/>
    <n v="3619.5"/>
    <x v="400"/>
    <x v="0"/>
    <x v="0"/>
    <x v="0"/>
    <x v="5"/>
    <n v="6"/>
    <s v="Q2"/>
    <n v="0.15508443319809706"/>
  </r>
  <r>
    <x v="401"/>
    <x v="137"/>
    <s v="CUST1237"/>
    <s v="Customer 1088"/>
    <x v="1"/>
    <s v="Bengaluru"/>
    <x v="4"/>
    <x v="1"/>
    <n v="2"/>
    <n v="9362.92"/>
    <n v="0.15"/>
    <x v="401"/>
    <n v="13967.38"/>
    <x v="401"/>
    <x v="1"/>
    <x v="1"/>
    <x v="1"/>
    <x v="5"/>
    <n v="6"/>
    <s v="Q2"/>
    <n v="0.12248444426573919"/>
  </r>
  <r>
    <x v="402"/>
    <x v="137"/>
    <s v="CUST1017"/>
    <s v="Customer 1133"/>
    <x v="3"/>
    <s v="Nagpur"/>
    <x v="1"/>
    <x v="1"/>
    <n v="1"/>
    <n v="5017.5"/>
    <n v="0"/>
    <x v="402"/>
    <n v="3204.89"/>
    <x v="402"/>
    <x v="0"/>
    <x v="3"/>
    <x v="1"/>
    <x v="5"/>
    <n v="6"/>
    <s v="Q2"/>
    <n v="0.36125759840558047"/>
  </r>
  <r>
    <x v="403"/>
    <x v="138"/>
    <s v="CUST1158"/>
    <s v="Customer 1139"/>
    <x v="1"/>
    <s v="Chennai"/>
    <x v="9"/>
    <x v="0"/>
    <n v="2"/>
    <n v="2624.73"/>
    <n v="0"/>
    <x v="403"/>
    <n v="4217.3100000000004"/>
    <x v="403"/>
    <x v="1"/>
    <x v="0"/>
    <x v="1"/>
    <x v="5"/>
    <n v="6"/>
    <s v="Q2"/>
    <n v="0.19662022379444744"/>
  </r>
  <r>
    <x v="404"/>
    <x v="138"/>
    <s v="CUST1182"/>
    <s v="Customer 1125"/>
    <x v="1"/>
    <s v="Bengaluru"/>
    <x v="0"/>
    <x v="0"/>
    <n v="1"/>
    <n v="19737.599999999999"/>
    <n v="0.02"/>
    <x v="404"/>
    <n v="14869.07"/>
    <x v="404"/>
    <x v="1"/>
    <x v="3"/>
    <x v="1"/>
    <x v="5"/>
    <n v="6"/>
    <s v="Q2"/>
    <n v="0.23128856399134565"/>
  </r>
  <r>
    <x v="405"/>
    <x v="138"/>
    <s v="CUST1237"/>
    <s v="Customer 1032"/>
    <x v="1"/>
    <s v="Hyderabad"/>
    <x v="0"/>
    <x v="0"/>
    <n v="4"/>
    <n v="11710.18"/>
    <n v="0.02"/>
    <x v="405"/>
    <n v="39131.879999999997"/>
    <x v="405"/>
    <x v="1"/>
    <x v="3"/>
    <x v="1"/>
    <x v="5"/>
    <n v="6"/>
    <s v="Q2"/>
    <n v="0.14752621290866069"/>
  </r>
  <r>
    <x v="406"/>
    <x v="139"/>
    <s v="CUST1073"/>
    <s v="Customer 1201"/>
    <x v="2"/>
    <s v="Ahmedabad"/>
    <x v="2"/>
    <x v="0"/>
    <n v="2"/>
    <n v="64927.32"/>
    <n v="0.05"/>
    <x v="406"/>
    <n v="91794.69"/>
    <x v="406"/>
    <x v="0"/>
    <x v="0"/>
    <x v="0"/>
    <x v="5"/>
    <n v="6"/>
    <s v="Q2"/>
    <n v="0.2558911417632882"/>
  </r>
  <r>
    <x v="407"/>
    <x v="139"/>
    <s v="CUST1153"/>
    <s v="Customer 1012"/>
    <x v="4"/>
    <s v="Lucknow"/>
    <x v="7"/>
    <x v="4"/>
    <n v="1"/>
    <n v="3131"/>
    <n v="0.1"/>
    <x v="407"/>
    <n v="1962.09"/>
    <x v="407"/>
    <x v="1"/>
    <x v="2"/>
    <x v="0"/>
    <x v="5"/>
    <n v="6"/>
    <s v="Q2"/>
    <n v="0.30370488661769401"/>
  </r>
  <r>
    <x v="408"/>
    <x v="139"/>
    <s v="CUST1036"/>
    <s v="Customer 1048"/>
    <x v="1"/>
    <s v="Bengaluru"/>
    <x v="6"/>
    <x v="2"/>
    <n v="2"/>
    <n v="3435.23"/>
    <n v="0.15"/>
    <x v="408"/>
    <n v="5833.96"/>
    <x v="408"/>
    <x v="1"/>
    <x v="4"/>
    <x v="1"/>
    <x v="5"/>
    <n v="6"/>
    <s v="Q2"/>
    <n v="1.0154300851557135E-3"/>
  </r>
  <r>
    <x v="409"/>
    <x v="140"/>
    <s v="CUST1175"/>
    <s v="Customer 1115"/>
    <x v="4"/>
    <s v="Jaipur"/>
    <x v="4"/>
    <x v="1"/>
    <n v="2"/>
    <n v="13303.44"/>
    <n v="0.15"/>
    <x v="409"/>
    <n v="19517.8"/>
    <x v="409"/>
    <x v="0"/>
    <x v="0"/>
    <x v="1"/>
    <x v="5"/>
    <n v="6"/>
    <s v="Q2"/>
    <n v="0.13698578651697815"/>
  </r>
  <r>
    <x v="410"/>
    <x v="141"/>
    <s v="CUST1016"/>
    <s v="Customer 1165"/>
    <x v="2"/>
    <s v="Ahmedabad"/>
    <x v="6"/>
    <x v="2"/>
    <n v="2"/>
    <n v="3048.81"/>
    <n v="0.1"/>
    <x v="410"/>
    <n v="3867.1"/>
    <x v="410"/>
    <x v="1"/>
    <x v="0"/>
    <x v="1"/>
    <x v="5"/>
    <n v="6"/>
    <s v="Q2"/>
    <n v="0.2953355224076416"/>
  </r>
  <r>
    <x v="411"/>
    <x v="141"/>
    <s v="CUST1074"/>
    <s v="Customer 1090"/>
    <x v="1"/>
    <s v="Bengaluru"/>
    <x v="5"/>
    <x v="3"/>
    <n v="1"/>
    <n v="87.83"/>
    <n v="0.1"/>
    <x v="411"/>
    <n v="54.73"/>
    <x v="411"/>
    <x v="1"/>
    <x v="4"/>
    <x v="2"/>
    <x v="5"/>
    <n v="6"/>
    <s v="Q2"/>
    <n v="0.30765338393421887"/>
  </r>
  <r>
    <x v="412"/>
    <x v="141"/>
    <s v="CUST1070"/>
    <s v="Customer 1169"/>
    <x v="0"/>
    <s v="Kolkata"/>
    <x v="2"/>
    <x v="0"/>
    <n v="2"/>
    <n v="74623.850000000006"/>
    <n v="0.02"/>
    <x v="412"/>
    <n v="125664.19"/>
    <x v="412"/>
    <x v="0"/>
    <x v="4"/>
    <x v="2"/>
    <x v="5"/>
    <n v="6"/>
    <s v="Q2"/>
    <n v="0.14083257698901464"/>
  </r>
  <r>
    <x v="413"/>
    <x v="141"/>
    <s v="CUST1026"/>
    <s v="Customer 1082"/>
    <x v="3"/>
    <s v="Bhopal"/>
    <x v="3"/>
    <x v="2"/>
    <n v="2"/>
    <n v="694.56"/>
    <n v="0.15"/>
    <x v="413"/>
    <n v="967.42"/>
    <x v="413"/>
    <x v="1"/>
    <x v="1"/>
    <x v="0"/>
    <x v="5"/>
    <n v="6"/>
    <s v="Q2"/>
    <n v="0.18067330086809233"/>
  </r>
  <r>
    <x v="414"/>
    <x v="141"/>
    <s v="CUST1168"/>
    <s v="Customer 1166"/>
    <x v="4"/>
    <s v="Lucknow"/>
    <x v="6"/>
    <x v="2"/>
    <n v="1"/>
    <n v="1357.81"/>
    <n v="0.02"/>
    <x v="414"/>
    <n v="924.52"/>
    <x v="414"/>
    <x v="1"/>
    <x v="3"/>
    <x v="0"/>
    <x v="5"/>
    <n v="6"/>
    <s v="Q2"/>
    <n v="0.30521173862398071"/>
  </r>
  <r>
    <x v="415"/>
    <x v="141"/>
    <s v="CUST1272"/>
    <s v="Customer 1175"/>
    <x v="0"/>
    <s v="Kolkata"/>
    <x v="8"/>
    <x v="0"/>
    <n v="1"/>
    <n v="9874.7900000000009"/>
    <n v="0"/>
    <x v="415"/>
    <n v="6923.06"/>
    <x v="415"/>
    <x v="1"/>
    <x v="4"/>
    <x v="1"/>
    <x v="5"/>
    <n v="6"/>
    <s v="Q2"/>
    <n v="0.29891572377741704"/>
  </r>
  <r>
    <x v="416"/>
    <x v="142"/>
    <s v="CUST1259"/>
    <s v="Customer 1251"/>
    <x v="3"/>
    <s v="Bhopal"/>
    <x v="6"/>
    <x v="2"/>
    <n v="2"/>
    <n v="3333.12"/>
    <n v="0.05"/>
    <x v="416"/>
    <n v="4279.33"/>
    <x v="416"/>
    <x v="0"/>
    <x v="1"/>
    <x v="2"/>
    <x v="5"/>
    <n v="6"/>
    <s v="Q2"/>
    <n v="0.32427328266694877"/>
  </r>
  <r>
    <x v="417"/>
    <x v="142"/>
    <s v="CUST1146"/>
    <s v="Customer 1293"/>
    <x v="2"/>
    <s v="Mumbai"/>
    <x v="2"/>
    <x v="0"/>
    <n v="1"/>
    <n v="59775.54"/>
    <n v="0.15"/>
    <x v="417"/>
    <n v="42572.24"/>
    <x v="417"/>
    <x v="1"/>
    <x v="0"/>
    <x v="0"/>
    <x v="5"/>
    <n v="6"/>
    <s v="Q2"/>
    <n v="0.16211568729370127"/>
  </r>
  <r>
    <x v="418"/>
    <x v="143"/>
    <s v="CUST1098"/>
    <s v="Customer 1102"/>
    <x v="4"/>
    <s v="Delhi"/>
    <x v="0"/>
    <x v="0"/>
    <n v="2"/>
    <n v="21893.39"/>
    <n v="0"/>
    <x v="418"/>
    <n v="28177.9"/>
    <x v="418"/>
    <x v="0"/>
    <x v="4"/>
    <x v="1"/>
    <x v="5"/>
    <n v="6"/>
    <s v="Q2"/>
    <n v="0.35647471679808379"/>
  </r>
  <r>
    <x v="419"/>
    <x v="143"/>
    <s v="CUST1163"/>
    <s v="Customer 1189"/>
    <x v="2"/>
    <s v="Pune"/>
    <x v="6"/>
    <x v="2"/>
    <n v="4"/>
    <n v="2055.77"/>
    <n v="0.1"/>
    <x v="419"/>
    <n v="7187.73"/>
    <x v="419"/>
    <x v="1"/>
    <x v="1"/>
    <x v="2"/>
    <x v="5"/>
    <n v="6"/>
    <s v="Q2"/>
    <n v="2.8786193869016329E-2"/>
  </r>
  <r>
    <x v="420"/>
    <x v="143"/>
    <s v="CUST1057"/>
    <s v="Customer 1078"/>
    <x v="2"/>
    <s v="Ahmedabad"/>
    <x v="5"/>
    <x v="3"/>
    <n v="1"/>
    <n v="328.79"/>
    <n v="0.1"/>
    <x v="420"/>
    <n v="265.76"/>
    <x v="420"/>
    <x v="0"/>
    <x v="3"/>
    <x v="2"/>
    <x v="5"/>
    <n v="6"/>
    <s v="Q2"/>
    <n v="0.10188908789834746"/>
  </r>
  <r>
    <x v="421"/>
    <x v="144"/>
    <s v="CUST1166"/>
    <s v="Customer 1205"/>
    <x v="2"/>
    <s v="Ahmedabad"/>
    <x v="10"/>
    <x v="0"/>
    <n v="3"/>
    <n v="32715.97"/>
    <n v="0"/>
    <x v="421"/>
    <n v="83314.27"/>
    <x v="421"/>
    <x v="1"/>
    <x v="2"/>
    <x v="2"/>
    <x v="5"/>
    <n v="6"/>
    <s v="Q2"/>
    <n v="0.15113556671762035"/>
  </r>
  <r>
    <x v="422"/>
    <x v="144"/>
    <s v="CUST1009"/>
    <s v="Customer 1233"/>
    <x v="2"/>
    <s v="Mumbai"/>
    <x v="10"/>
    <x v="0"/>
    <n v="3"/>
    <n v="54861.39"/>
    <n v="0.1"/>
    <x v="422"/>
    <n v="125932.61"/>
    <x v="422"/>
    <x v="1"/>
    <x v="1"/>
    <x v="2"/>
    <x v="5"/>
    <n v="6"/>
    <s v="Q2"/>
    <n v="0.14982634687081753"/>
  </r>
  <r>
    <x v="423"/>
    <x v="145"/>
    <s v="CUST1179"/>
    <s v="Customer 1206"/>
    <x v="3"/>
    <s v="Nagpur"/>
    <x v="4"/>
    <x v="1"/>
    <n v="2"/>
    <n v="7921.12"/>
    <n v="0.15"/>
    <x v="423"/>
    <n v="10186.950000000001"/>
    <x v="423"/>
    <x v="0"/>
    <x v="2"/>
    <x v="0"/>
    <x v="5"/>
    <n v="6"/>
    <s v="Q2"/>
    <n v="0.24350024877653925"/>
  </r>
  <r>
    <x v="424"/>
    <x v="145"/>
    <s v="CUST1131"/>
    <s v="Customer 1188"/>
    <x v="4"/>
    <s v="Delhi"/>
    <x v="10"/>
    <x v="0"/>
    <n v="3"/>
    <n v="42882.77"/>
    <n v="0.15"/>
    <x v="424"/>
    <n v="102997.12"/>
    <x v="424"/>
    <x v="1"/>
    <x v="3"/>
    <x v="2"/>
    <x v="5"/>
    <n v="6"/>
    <s v="Q2"/>
    <n v="5.8105883930160349E-2"/>
  </r>
  <r>
    <x v="425"/>
    <x v="145"/>
    <s v="CUST1141"/>
    <s v="Customer 1097"/>
    <x v="2"/>
    <s v="Mumbai"/>
    <x v="1"/>
    <x v="1"/>
    <n v="4"/>
    <n v="9140.2199999999993"/>
    <n v="0.05"/>
    <x v="425"/>
    <n v="30115.58"/>
    <x v="425"/>
    <x v="0"/>
    <x v="3"/>
    <x v="2"/>
    <x v="5"/>
    <n v="6"/>
    <s v="Q2"/>
    <n v="0.13293643710102601"/>
  </r>
  <r>
    <x v="426"/>
    <x v="145"/>
    <s v="CUST1270"/>
    <s v="Customer 1056"/>
    <x v="2"/>
    <s v="Mumbai"/>
    <x v="11"/>
    <x v="4"/>
    <n v="1"/>
    <n v="1156.99"/>
    <n v="0.02"/>
    <x v="426"/>
    <n v="886.43"/>
    <x v="426"/>
    <x v="0"/>
    <x v="0"/>
    <x v="0"/>
    <x v="5"/>
    <n v="6"/>
    <s v="Q2"/>
    <n v="0.21821228557569344"/>
  </r>
  <r>
    <x v="427"/>
    <x v="145"/>
    <s v="CUST1287"/>
    <s v="Customer 1123"/>
    <x v="0"/>
    <s v="Patna"/>
    <x v="4"/>
    <x v="1"/>
    <n v="1"/>
    <n v="6872.04"/>
    <n v="0.05"/>
    <x v="427"/>
    <n v="5372.68"/>
    <x v="427"/>
    <x v="0"/>
    <x v="4"/>
    <x v="1"/>
    <x v="5"/>
    <n v="6"/>
    <s v="Q2"/>
    <n v="0.17703463614584802"/>
  </r>
  <r>
    <x v="428"/>
    <x v="145"/>
    <s v="CUST1178"/>
    <s v="Customer 1117"/>
    <x v="4"/>
    <s v="Lucknow"/>
    <x v="9"/>
    <x v="0"/>
    <n v="2"/>
    <n v="7809.64"/>
    <n v="0"/>
    <x v="428"/>
    <n v="10427.18"/>
    <x v="428"/>
    <x v="0"/>
    <x v="2"/>
    <x v="0"/>
    <x v="5"/>
    <n v="6"/>
    <s v="Q2"/>
    <n v="0.33241609088255031"/>
  </r>
  <r>
    <x v="429"/>
    <x v="145"/>
    <s v="CUST1259"/>
    <s v="Customer 1095"/>
    <x v="3"/>
    <s v="Bhopal"/>
    <x v="3"/>
    <x v="2"/>
    <n v="1"/>
    <n v="645.05999999999995"/>
    <n v="0.1"/>
    <x v="429"/>
    <n v="471.48"/>
    <x v="429"/>
    <x v="0"/>
    <x v="2"/>
    <x v="1"/>
    <x v="5"/>
    <n v="6"/>
    <s v="Q2"/>
    <n v="0.18787356816811646"/>
  </r>
  <r>
    <x v="430"/>
    <x v="146"/>
    <s v="CUST1100"/>
    <s v="Customer 1141"/>
    <x v="3"/>
    <s v="Nagpur"/>
    <x v="5"/>
    <x v="3"/>
    <n v="1"/>
    <n v="112.61"/>
    <n v="0.05"/>
    <x v="430"/>
    <n v="77.73"/>
    <x v="430"/>
    <x v="1"/>
    <x v="0"/>
    <x v="1"/>
    <x v="5"/>
    <n v="6"/>
    <s v="Q2"/>
    <n v="0.27341559169938306"/>
  </r>
  <r>
    <x v="431"/>
    <x v="146"/>
    <s v="CUST1201"/>
    <s v="Customer 1275"/>
    <x v="2"/>
    <s v="Ahmedabad"/>
    <x v="6"/>
    <x v="2"/>
    <n v="1"/>
    <n v="1447.2"/>
    <n v="0"/>
    <x v="431"/>
    <n v="987.6"/>
    <x v="431"/>
    <x v="0"/>
    <x v="0"/>
    <x v="2"/>
    <x v="5"/>
    <n v="6"/>
    <s v="Q2"/>
    <n v="0.3175787728026534"/>
  </r>
  <r>
    <x v="432"/>
    <x v="147"/>
    <s v="CUST1099"/>
    <s v="Customer 1113"/>
    <x v="4"/>
    <s v="Delhi"/>
    <x v="4"/>
    <x v="1"/>
    <n v="2"/>
    <n v="9832.41"/>
    <n v="0.1"/>
    <x v="432"/>
    <n v="16048.63"/>
    <x v="432"/>
    <x v="1"/>
    <x v="1"/>
    <x v="1"/>
    <x v="5"/>
    <n v="6"/>
    <s v="Q2"/>
    <n v="9.3212696783992174E-2"/>
  </r>
  <r>
    <x v="433"/>
    <x v="147"/>
    <s v="CUST1289"/>
    <s v="Customer 1261"/>
    <x v="4"/>
    <s v="Delhi"/>
    <x v="5"/>
    <x v="3"/>
    <n v="4"/>
    <n v="173.92"/>
    <n v="0.05"/>
    <x v="433"/>
    <n v="467.29"/>
    <x v="433"/>
    <x v="0"/>
    <x v="2"/>
    <x v="0"/>
    <x v="5"/>
    <n v="6"/>
    <s v="Q2"/>
    <n v="0.29294900892722048"/>
  </r>
  <r>
    <x v="434"/>
    <x v="147"/>
    <s v="CUST1271"/>
    <s v="Customer 1096"/>
    <x v="1"/>
    <s v="Hyderabad"/>
    <x v="9"/>
    <x v="0"/>
    <n v="4"/>
    <n v="2101.5"/>
    <n v="0.1"/>
    <x v="434"/>
    <n v="5313.14"/>
    <x v="434"/>
    <x v="0"/>
    <x v="3"/>
    <x v="0"/>
    <x v="5"/>
    <n v="6"/>
    <s v="Q2"/>
    <n v="0.29770534274460048"/>
  </r>
  <r>
    <x v="435"/>
    <x v="147"/>
    <s v="CUST1143"/>
    <s v="Customer 1253"/>
    <x v="3"/>
    <s v="Indore"/>
    <x v="3"/>
    <x v="2"/>
    <n v="1"/>
    <n v="1268"/>
    <n v="0.05"/>
    <x v="435"/>
    <n v="1115.06"/>
    <x v="435"/>
    <x v="1"/>
    <x v="0"/>
    <x v="2"/>
    <x v="5"/>
    <n v="6"/>
    <s v="Q2"/>
    <n v="7.4331728374564185E-2"/>
  </r>
  <r>
    <x v="436"/>
    <x v="148"/>
    <s v="CUST1132"/>
    <s v="Customer 1264"/>
    <x v="0"/>
    <s v="Patna"/>
    <x v="10"/>
    <x v="0"/>
    <n v="2"/>
    <n v="37402.44"/>
    <n v="0"/>
    <x v="436"/>
    <n v="54173.57"/>
    <x v="436"/>
    <x v="1"/>
    <x v="1"/>
    <x v="1"/>
    <x v="5"/>
    <n v="6"/>
    <s v="Q2"/>
    <n v="0.27580165892920355"/>
  </r>
  <r>
    <x v="437"/>
    <x v="148"/>
    <s v="CUST1026"/>
    <s v="Customer 1017"/>
    <x v="1"/>
    <s v="Hyderabad"/>
    <x v="10"/>
    <x v="0"/>
    <n v="3"/>
    <n v="34122.17"/>
    <n v="0.1"/>
    <x v="437"/>
    <n v="73810.8"/>
    <x v="437"/>
    <x v="0"/>
    <x v="4"/>
    <x v="2"/>
    <x v="5"/>
    <n v="6"/>
    <s v="Q2"/>
    <n v="0.19883955104240905"/>
  </r>
  <r>
    <x v="438"/>
    <x v="149"/>
    <s v="CUST1082"/>
    <s v="Customer 1072"/>
    <x v="0"/>
    <s v="Patna"/>
    <x v="4"/>
    <x v="1"/>
    <n v="1"/>
    <n v="11644.22"/>
    <n v="0.05"/>
    <x v="438"/>
    <n v="9359.7199999999993"/>
    <x v="438"/>
    <x v="0"/>
    <x v="2"/>
    <x v="2"/>
    <x v="5"/>
    <n v="6"/>
    <s v="Q2"/>
    <n v="0.1538861382334675"/>
  </r>
  <r>
    <x v="439"/>
    <x v="150"/>
    <s v="CUST1109"/>
    <s v="Customer 1207"/>
    <x v="0"/>
    <s v="Kolkata"/>
    <x v="11"/>
    <x v="4"/>
    <n v="1"/>
    <n v="1758.03"/>
    <n v="0.05"/>
    <x v="439"/>
    <n v="1452.29"/>
    <x v="439"/>
    <x v="1"/>
    <x v="4"/>
    <x v="1"/>
    <x v="5"/>
    <n v="6"/>
    <s v="Q2"/>
    <n v="0.13043296030847898"/>
  </r>
  <r>
    <x v="440"/>
    <x v="150"/>
    <s v="CUST1058"/>
    <s v="Customer 1284"/>
    <x v="2"/>
    <s v="Pune"/>
    <x v="1"/>
    <x v="1"/>
    <n v="4"/>
    <n v="5515.05"/>
    <n v="0.1"/>
    <x v="440"/>
    <n v="18670.66"/>
    <x v="440"/>
    <x v="0"/>
    <x v="0"/>
    <x v="2"/>
    <x v="5"/>
    <n v="6"/>
    <s v="Q2"/>
    <n v="5.9610621037987969E-2"/>
  </r>
  <r>
    <x v="441"/>
    <x v="151"/>
    <s v="CUST1181"/>
    <s v="Customer 1178"/>
    <x v="2"/>
    <s v="Mumbai"/>
    <x v="7"/>
    <x v="4"/>
    <n v="1"/>
    <n v="2250.8200000000002"/>
    <n v="0.02"/>
    <x v="441"/>
    <n v="1816.41"/>
    <x v="441"/>
    <x v="1"/>
    <x v="2"/>
    <x v="2"/>
    <x v="5"/>
    <n v="6"/>
    <s v="Q2"/>
    <n v="0.17653005712213254"/>
  </r>
  <r>
    <x v="442"/>
    <x v="151"/>
    <s v="CUST1287"/>
    <s v="Customer 1085"/>
    <x v="2"/>
    <s v="Ahmedabad"/>
    <x v="0"/>
    <x v="0"/>
    <n v="1"/>
    <n v="8874.42"/>
    <n v="0.1"/>
    <x v="442"/>
    <n v="6111.22"/>
    <x v="442"/>
    <x v="0"/>
    <x v="2"/>
    <x v="2"/>
    <x v="5"/>
    <n v="6"/>
    <s v="Q2"/>
    <n v="0.23485222199129083"/>
  </r>
  <r>
    <x v="443"/>
    <x v="151"/>
    <s v="CUST1086"/>
    <s v="Customer 1177"/>
    <x v="4"/>
    <s v="Delhi"/>
    <x v="1"/>
    <x v="1"/>
    <n v="1"/>
    <n v="5377.23"/>
    <n v="0.1"/>
    <x v="443"/>
    <n v="4344.43"/>
    <x v="443"/>
    <x v="1"/>
    <x v="2"/>
    <x v="1"/>
    <x v="5"/>
    <n v="6"/>
    <s v="Q2"/>
    <n v="0.10229961297734687"/>
  </r>
  <r>
    <x v="444"/>
    <x v="152"/>
    <s v="CUST1274"/>
    <s v="Customer 1254"/>
    <x v="1"/>
    <s v="Chennai"/>
    <x v="0"/>
    <x v="0"/>
    <n v="2"/>
    <n v="7322.67"/>
    <n v="0.02"/>
    <x v="444"/>
    <n v="9786.1200000000008"/>
    <x v="444"/>
    <x v="1"/>
    <x v="3"/>
    <x v="1"/>
    <x v="5"/>
    <n v="6"/>
    <s v="Q2"/>
    <n v="0.31815588022376701"/>
  </r>
  <r>
    <x v="445"/>
    <x v="152"/>
    <s v="CUST1166"/>
    <s v="Customer 1014"/>
    <x v="0"/>
    <s v="Kolkata"/>
    <x v="9"/>
    <x v="0"/>
    <n v="1"/>
    <n v="4212.8"/>
    <n v="0.1"/>
    <x v="445"/>
    <n v="3555.06"/>
    <x v="445"/>
    <x v="1"/>
    <x v="1"/>
    <x v="0"/>
    <x v="5"/>
    <n v="6"/>
    <s v="Q2"/>
    <n v="6.2365489302443351E-2"/>
  </r>
  <r>
    <x v="446"/>
    <x v="152"/>
    <s v="CUST1167"/>
    <s v="Customer 1188"/>
    <x v="0"/>
    <s v="Patna"/>
    <x v="3"/>
    <x v="2"/>
    <n v="1"/>
    <n v="323.97000000000003"/>
    <n v="0.05"/>
    <x v="446"/>
    <n v="239.22"/>
    <x v="446"/>
    <x v="1"/>
    <x v="0"/>
    <x v="2"/>
    <x v="5"/>
    <n v="6"/>
    <s v="Q2"/>
    <n v="0.22273126035675991"/>
  </r>
  <r>
    <x v="447"/>
    <x v="152"/>
    <s v="CUST1271"/>
    <s v="Customer 1139"/>
    <x v="0"/>
    <s v="Patna"/>
    <x v="0"/>
    <x v="0"/>
    <n v="1"/>
    <n v="13680.3"/>
    <n v="0.02"/>
    <x v="447"/>
    <n v="9020.5"/>
    <x v="447"/>
    <x v="1"/>
    <x v="4"/>
    <x v="1"/>
    <x v="5"/>
    <n v="6"/>
    <s v="Q2"/>
    <n v="0.32716427395576381"/>
  </r>
  <r>
    <x v="448"/>
    <x v="152"/>
    <s v="CUST1082"/>
    <s v="Customer 1154"/>
    <x v="2"/>
    <s v="Pune"/>
    <x v="11"/>
    <x v="4"/>
    <n v="4"/>
    <n v="2188.36"/>
    <n v="0.05"/>
    <x v="448"/>
    <n v="6584.51"/>
    <x v="448"/>
    <x v="1"/>
    <x v="2"/>
    <x v="1"/>
    <x v="5"/>
    <n v="6"/>
    <s v="Q2"/>
    <n v="0.20818998120438637"/>
  </r>
  <r>
    <x v="449"/>
    <x v="153"/>
    <s v="CUST1067"/>
    <s v="Customer 1113"/>
    <x v="1"/>
    <s v="Hyderabad"/>
    <x v="5"/>
    <x v="3"/>
    <n v="1"/>
    <n v="245.16"/>
    <n v="0.15"/>
    <x v="449"/>
    <n v="195.85"/>
    <x v="449"/>
    <x v="0"/>
    <x v="2"/>
    <x v="2"/>
    <x v="5"/>
    <n v="6"/>
    <s v="Q2"/>
    <n v="6.0175632228033973E-2"/>
  </r>
  <r>
    <x v="450"/>
    <x v="153"/>
    <s v="CUST1162"/>
    <s v="Customer 1286"/>
    <x v="1"/>
    <s v="Chennai"/>
    <x v="7"/>
    <x v="4"/>
    <n v="2"/>
    <n v="2003.89"/>
    <n v="0.02"/>
    <x v="450"/>
    <n v="3247.45"/>
    <x v="450"/>
    <x v="1"/>
    <x v="1"/>
    <x v="0"/>
    <x v="5"/>
    <n v="6"/>
    <s v="Q2"/>
    <n v="0.17317612192625559"/>
  </r>
  <r>
    <x v="451"/>
    <x v="154"/>
    <s v="CUST1289"/>
    <s v="Customer 1033"/>
    <x v="3"/>
    <s v="Nagpur"/>
    <x v="1"/>
    <x v="1"/>
    <n v="2"/>
    <n v="5864.12"/>
    <n v="0.05"/>
    <x v="451"/>
    <n v="7382.87"/>
    <x v="451"/>
    <x v="0"/>
    <x v="4"/>
    <x v="0"/>
    <x v="5"/>
    <n v="6"/>
    <s v="Q2"/>
    <n v="0.33737366303381044"/>
  </r>
  <r>
    <x v="452"/>
    <x v="154"/>
    <s v="CUST1272"/>
    <s v="Customer 1150"/>
    <x v="0"/>
    <s v="Patna"/>
    <x v="10"/>
    <x v="0"/>
    <n v="4"/>
    <n v="50256.52"/>
    <n v="0.02"/>
    <x v="452"/>
    <n v="135426.4"/>
    <x v="452"/>
    <x v="0"/>
    <x v="2"/>
    <x v="2"/>
    <x v="5"/>
    <n v="6"/>
    <s v="Q2"/>
    <n v="0.31257574659314186"/>
  </r>
  <r>
    <x v="453"/>
    <x v="155"/>
    <s v="CUST1074"/>
    <s v="Customer 1143"/>
    <x v="2"/>
    <s v="Mumbai"/>
    <x v="11"/>
    <x v="4"/>
    <n v="2"/>
    <n v="658.59"/>
    <n v="0.1"/>
    <x v="453"/>
    <n v="869.06"/>
    <x v="453"/>
    <x v="1"/>
    <x v="4"/>
    <x v="1"/>
    <x v="5"/>
    <n v="6"/>
    <s v="Q2"/>
    <n v="0.26690061242049495"/>
  </r>
  <r>
    <x v="454"/>
    <x v="155"/>
    <s v="CUST1141"/>
    <s v="Customer 1168"/>
    <x v="2"/>
    <s v="Mumbai"/>
    <x v="6"/>
    <x v="2"/>
    <n v="1"/>
    <n v="3076.11"/>
    <n v="0.15"/>
    <x v="454"/>
    <n v="2577.8000000000002"/>
    <x v="454"/>
    <x v="0"/>
    <x v="0"/>
    <x v="1"/>
    <x v="5"/>
    <n v="6"/>
    <s v="Q2"/>
    <n v="1.4108747117249082E-2"/>
  </r>
  <r>
    <x v="455"/>
    <x v="156"/>
    <s v="CUST1076"/>
    <s v="Customer 1101"/>
    <x v="2"/>
    <s v="Mumbai"/>
    <x v="1"/>
    <x v="1"/>
    <n v="2"/>
    <n v="15164.78"/>
    <n v="0.1"/>
    <x v="455"/>
    <n v="19203.02"/>
    <x v="455"/>
    <x v="0"/>
    <x v="2"/>
    <x v="2"/>
    <x v="5"/>
    <n v="6"/>
    <s v="Q2"/>
    <n v="0.29650505923814691"/>
  </r>
  <r>
    <x v="456"/>
    <x v="156"/>
    <s v="CUST1076"/>
    <s v="Customer 1114"/>
    <x v="4"/>
    <s v="Jaipur"/>
    <x v="10"/>
    <x v="0"/>
    <n v="1"/>
    <n v="47508.02"/>
    <n v="0.02"/>
    <x v="456"/>
    <n v="36210.68"/>
    <x v="456"/>
    <x v="1"/>
    <x v="0"/>
    <x v="2"/>
    <x v="5"/>
    <n v="6"/>
    <s v="Q2"/>
    <n v="0.22224346222098695"/>
  </r>
  <r>
    <x v="457"/>
    <x v="157"/>
    <s v="CUST1096"/>
    <s v="Customer 1103"/>
    <x v="4"/>
    <s v="Jaipur"/>
    <x v="5"/>
    <x v="3"/>
    <n v="4"/>
    <n v="145.66999999999999"/>
    <n v="0"/>
    <x v="457"/>
    <n v="380.29"/>
    <x v="457"/>
    <x v="0"/>
    <x v="2"/>
    <x v="2"/>
    <x v="5"/>
    <n v="6"/>
    <s v="Q2"/>
    <n v="0.34734331022173404"/>
  </r>
  <r>
    <x v="458"/>
    <x v="157"/>
    <s v="CUST1233"/>
    <s v="Customer 1151"/>
    <x v="4"/>
    <s v="Delhi"/>
    <x v="6"/>
    <x v="2"/>
    <n v="1"/>
    <n v="2915.86"/>
    <n v="0.02"/>
    <x v="458"/>
    <n v="2296.64"/>
    <x v="458"/>
    <x v="0"/>
    <x v="3"/>
    <x v="0"/>
    <x v="5"/>
    <n v="6"/>
    <s v="Q2"/>
    <n v="0.19628771600747497"/>
  </r>
  <r>
    <x v="459"/>
    <x v="157"/>
    <s v="CUST1108"/>
    <s v="Customer 1211"/>
    <x v="1"/>
    <s v="Bengaluru"/>
    <x v="1"/>
    <x v="1"/>
    <n v="2"/>
    <n v="5560.32"/>
    <n v="0.05"/>
    <x v="459"/>
    <n v="9087.6200000000008"/>
    <x v="459"/>
    <x v="1"/>
    <x v="2"/>
    <x v="2"/>
    <x v="5"/>
    <n v="6"/>
    <s v="Q2"/>
    <n v="0.13980544478215476"/>
  </r>
  <r>
    <x v="460"/>
    <x v="157"/>
    <s v="CUST1079"/>
    <s v="Customer 1002"/>
    <x v="0"/>
    <s v="Patna"/>
    <x v="9"/>
    <x v="0"/>
    <n v="1"/>
    <n v="2960.94"/>
    <n v="0.02"/>
    <x v="460"/>
    <n v="1987.19"/>
    <x v="460"/>
    <x v="1"/>
    <x v="4"/>
    <x v="1"/>
    <x v="5"/>
    <n v="6"/>
    <s v="Q2"/>
    <n v="0.31516824504087232"/>
  </r>
  <r>
    <x v="461"/>
    <x v="158"/>
    <s v="CUST1169"/>
    <s v="Customer 1286"/>
    <x v="1"/>
    <s v="Hyderabad"/>
    <x v="1"/>
    <x v="1"/>
    <n v="4"/>
    <n v="11631.27"/>
    <n v="0.02"/>
    <x v="461"/>
    <n v="29846.400000000001"/>
    <x v="461"/>
    <x v="1"/>
    <x v="1"/>
    <x v="2"/>
    <x v="5"/>
    <n v="6"/>
    <s v="Q2"/>
    <n v="0.34539587819429413"/>
  </r>
  <r>
    <x v="462"/>
    <x v="158"/>
    <s v="CUST1057"/>
    <s v="Customer 1203"/>
    <x v="0"/>
    <s v="Patna"/>
    <x v="5"/>
    <x v="3"/>
    <n v="2"/>
    <n v="160.63999999999999"/>
    <n v="0.05"/>
    <x v="462"/>
    <n v="247.78"/>
    <x v="462"/>
    <x v="1"/>
    <x v="0"/>
    <x v="1"/>
    <x v="5"/>
    <n v="6"/>
    <s v="Q2"/>
    <n v="0.18819212371404231"/>
  </r>
  <r>
    <x v="463"/>
    <x v="158"/>
    <s v="CUST1100"/>
    <s v="Customer 1233"/>
    <x v="4"/>
    <s v="Delhi"/>
    <x v="8"/>
    <x v="0"/>
    <n v="3"/>
    <n v="26355.61"/>
    <n v="0.15"/>
    <x v="463"/>
    <n v="67431.039999999994"/>
    <x v="463"/>
    <x v="1"/>
    <x v="4"/>
    <x v="0"/>
    <x v="5"/>
    <n v="6"/>
    <s v="Q2"/>
    <n v="-3.3364178421799815E-3"/>
  </r>
  <r>
    <x v="464"/>
    <x v="159"/>
    <s v="CUST1242"/>
    <s v="Customer 1203"/>
    <x v="4"/>
    <s v="Lucknow"/>
    <x v="11"/>
    <x v="4"/>
    <n v="1"/>
    <n v="797.14"/>
    <n v="0.15"/>
    <x v="464"/>
    <n v="610.53"/>
    <x v="464"/>
    <x v="1"/>
    <x v="0"/>
    <x v="1"/>
    <x v="5"/>
    <n v="6"/>
    <s v="Q2"/>
    <n v="9.8941806750594039E-2"/>
  </r>
  <r>
    <x v="465"/>
    <x v="159"/>
    <s v="CUST1280"/>
    <s v="Customer 1017"/>
    <x v="1"/>
    <s v="Hyderabad"/>
    <x v="4"/>
    <x v="1"/>
    <n v="2"/>
    <n v="8582.24"/>
    <n v="0.05"/>
    <x v="465"/>
    <n v="14739.95"/>
    <x v="465"/>
    <x v="0"/>
    <x v="2"/>
    <x v="1"/>
    <x v="5"/>
    <n v="6"/>
    <s v="Q2"/>
    <n v="9.6055747915217829E-2"/>
  </r>
  <r>
    <x v="466"/>
    <x v="159"/>
    <s v="CUST1063"/>
    <s v="Customer 1165"/>
    <x v="0"/>
    <s v="Bhubaneswar"/>
    <x v="4"/>
    <x v="1"/>
    <n v="1"/>
    <n v="9984.16"/>
    <n v="0.05"/>
    <x v="466"/>
    <n v="8361.48"/>
    <x v="466"/>
    <x v="1"/>
    <x v="1"/>
    <x v="2"/>
    <x v="5"/>
    <n v="6"/>
    <s v="Q2"/>
    <n v="0.1184476460076226"/>
  </r>
  <r>
    <x v="467"/>
    <x v="159"/>
    <s v="CUST1297"/>
    <s v="Customer 1106"/>
    <x v="3"/>
    <s v="Nagpur"/>
    <x v="5"/>
    <x v="3"/>
    <n v="1"/>
    <n v="349.26"/>
    <n v="0.15"/>
    <x v="467"/>
    <n v="275.06"/>
    <x v="467"/>
    <x v="1"/>
    <x v="3"/>
    <x v="0"/>
    <x v="5"/>
    <n v="6"/>
    <s v="Q2"/>
    <n v="7.3466500488429273E-2"/>
  </r>
  <r>
    <x v="468"/>
    <x v="160"/>
    <s v="CUST1062"/>
    <s v="Customer 1119"/>
    <x v="3"/>
    <s v="Nagpur"/>
    <x v="0"/>
    <x v="0"/>
    <n v="1"/>
    <n v="13734.27"/>
    <n v="0.1"/>
    <x v="468"/>
    <n v="9788.19"/>
    <x v="468"/>
    <x v="1"/>
    <x v="3"/>
    <x v="1"/>
    <x v="5"/>
    <n v="6"/>
    <s v="Q2"/>
    <n v="0.20812905919015212"/>
  </r>
  <r>
    <x v="469"/>
    <x v="160"/>
    <s v="CUST1132"/>
    <s v="Customer 1028"/>
    <x v="1"/>
    <s v="Bengaluru"/>
    <x v="11"/>
    <x v="4"/>
    <n v="1"/>
    <n v="1532.05"/>
    <n v="0.1"/>
    <x v="469"/>
    <n v="1264.08"/>
    <x v="469"/>
    <x v="0"/>
    <x v="4"/>
    <x v="0"/>
    <x v="5"/>
    <n v="6"/>
    <s v="Q2"/>
    <n v="8.3236030025020849E-2"/>
  </r>
  <r>
    <x v="470"/>
    <x v="160"/>
    <s v="CUST1288"/>
    <s v="Customer 1281"/>
    <x v="0"/>
    <s v="Bhubaneswar"/>
    <x v="1"/>
    <x v="1"/>
    <n v="2"/>
    <n v="11245.06"/>
    <n v="0.02"/>
    <x v="470"/>
    <n v="18656.07"/>
    <x v="470"/>
    <x v="0"/>
    <x v="4"/>
    <x v="0"/>
    <x v="5"/>
    <n v="6"/>
    <s v="Q2"/>
    <n v="0.15354813360241593"/>
  </r>
  <r>
    <x v="471"/>
    <x v="160"/>
    <s v="CUST1101"/>
    <s v="Customer 1268"/>
    <x v="2"/>
    <s v="Ahmedabad"/>
    <x v="8"/>
    <x v="0"/>
    <n v="1"/>
    <n v="21084.959999999999"/>
    <n v="0.05"/>
    <x v="471"/>
    <n v="16599.240000000002"/>
    <x v="471"/>
    <x v="1"/>
    <x v="0"/>
    <x v="0"/>
    <x v="5"/>
    <n v="6"/>
    <s v="Q2"/>
    <n v="0.17131045279972601"/>
  </r>
  <r>
    <x v="472"/>
    <x v="161"/>
    <s v="CUST1253"/>
    <s v="Customer 1126"/>
    <x v="2"/>
    <s v="Ahmedabad"/>
    <x v="5"/>
    <x v="3"/>
    <n v="1"/>
    <n v="214.4"/>
    <n v="0"/>
    <x v="472"/>
    <n v="179.34"/>
    <x v="472"/>
    <x v="1"/>
    <x v="3"/>
    <x v="1"/>
    <x v="5"/>
    <n v="6"/>
    <s v="Q2"/>
    <n v="0.16352611940298509"/>
  </r>
  <r>
    <x v="473"/>
    <x v="161"/>
    <s v="CUST1231"/>
    <s v="Customer 1038"/>
    <x v="3"/>
    <s v="Indore"/>
    <x v="4"/>
    <x v="1"/>
    <n v="1"/>
    <n v="15437.07"/>
    <n v="0.15"/>
    <x v="473"/>
    <n v="10954.96"/>
    <x v="473"/>
    <x v="0"/>
    <x v="4"/>
    <x v="2"/>
    <x v="5"/>
    <n v="6"/>
    <s v="Q2"/>
    <n v="0.16511438089061398"/>
  </r>
  <r>
    <x v="474"/>
    <x v="161"/>
    <s v="CUST1020"/>
    <s v="Customer 1112"/>
    <x v="3"/>
    <s v="Indore"/>
    <x v="6"/>
    <x v="2"/>
    <n v="1"/>
    <n v="3229.11"/>
    <n v="0.02"/>
    <x v="474"/>
    <n v="2603.71"/>
    <x v="474"/>
    <x v="0"/>
    <x v="2"/>
    <x v="2"/>
    <x v="5"/>
    <n v="6"/>
    <s v="Q2"/>
    <n v="0.17722062991976692"/>
  </r>
  <r>
    <x v="475"/>
    <x v="161"/>
    <s v="CUST1292"/>
    <s v="Customer 1264"/>
    <x v="2"/>
    <s v="Mumbai"/>
    <x v="5"/>
    <x v="3"/>
    <n v="1"/>
    <n v="390.58"/>
    <n v="0.02"/>
    <x v="475"/>
    <n v="274.98"/>
    <x v="475"/>
    <x v="0"/>
    <x v="1"/>
    <x v="0"/>
    <x v="5"/>
    <n v="6"/>
    <s v="Q2"/>
    <n v="0.28160514146876719"/>
  </r>
  <r>
    <x v="476"/>
    <x v="161"/>
    <s v="CUST1224"/>
    <s v="Customer 1006"/>
    <x v="0"/>
    <s v="Bhubaneswar"/>
    <x v="10"/>
    <x v="0"/>
    <n v="1"/>
    <n v="52190.7"/>
    <n v="0"/>
    <x v="476"/>
    <n v="39982.49"/>
    <x v="476"/>
    <x v="1"/>
    <x v="2"/>
    <x v="2"/>
    <x v="5"/>
    <n v="6"/>
    <s v="Q2"/>
    <n v="0.23391542937726453"/>
  </r>
  <r>
    <x v="477"/>
    <x v="161"/>
    <s v="CUST1181"/>
    <s v="Customer 1169"/>
    <x v="0"/>
    <s v="Kolkata"/>
    <x v="8"/>
    <x v="0"/>
    <n v="2"/>
    <n v="26640.400000000001"/>
    <n v="0.1"/>
    <x v="477"/>
    <n v="34236.300000000003"/>
    <x v="477"/>
    <x v="0"/>
    <x v="2"/>
    <x v="0"/>
    <x v="5"/>
    <n v="6"/>
    <s v="Q2"/>
    <n v="0.286040499892394"/>
  </r>
  <r>
    <x v="478"/>
    <x v="161"/>
    <s v="CUST1034"/>
    <s v="Customer 1041"/>
    <x v="1"/>
    <s v="Bengaluru"/>
    <x v="5"/>
    <x v="3"/>
    <n v="3"/>
    <n v="344.31"/>
    <n v="0"/>
    <x v="478"/>
    <n v="704.84"/>
    <x v="478"/>
    <x v="1"/>
    <x v="2"/>
    <x v="1"/>
    <x v="5"/>
    <n v="6"/>
    <s v="Q2"/>
    <n v="0.31763042994200957"/>
  </r>
  <r>
    <x v="479"/>
    <x v="162"/>
    <s v="CUST1147"/>
    <s v="Customer 1268"/>
    <x v="3"/>
    <s v="Bhopal"/>
    <x v="6"/>
    <x v="2"/>
    <n v="1"/>
    <n v="2432.1"/>
    <n v="0.15"/>
    <x v="479"/>
    <n v="1676.34"/>
    <x v="479"/>
    <x v="1"/>
    <x v="4"/>
    <x v="2"/>
    <x v="6"/>
    <n v="7"/>
    <s v="Q3"/>
    <n v="0.1891083936380171"/>
  </r>
  <r>
    <x v="480"/>
    <x v="163"/>
    <s v="CUST1251"/>
    <s v="Customer 1009"/>
    <x v="0"/>
    <s v="Patna"/>
    <x v="4"/>
    <x v="1"/>
    <n v="1"/>
    <n v="6942.67"/>
    <n v="0.15"/>
    <x v="480"/>
    <n v="5132.46"/>
    <x v="480"/>
    <x v="1"/>
    <x v="4"/>
    <x v="1"/>
    <x v="6"/>
    <n v="7"/>
    <s v="Q3"/>
    <n v="0.13027873661093289"/>
  </r>
  <r>
    <x v="481"/>
    <x v="163"/>
    <s v="CUST1117"/>
    <s v="Customer 1282"/>
    <x v="3"/>
    <s v="Nagpur"/>
    <x v="9"/>
    <x v="0"/>
    <n v="1"/>
    <n v="3007.79"/>
    <n v="0.15"/>
    <x v="481"/>
    <n v="2525.14"/>
    <x v="481"/>
    <x v="0"/>
    <x v="4"/>
    <x v="1"/>
    <x v="6"/>
    <n v="7"/>
    <s v="Q3"/>
    <n v="1.2313132182334489E-2"/>
  </r>
  <r>
    <x v="482"/>
    <x v="163"/>
    <s v="CUST1268"/>
    <s v="Customer 1296"/>
    <x v="4"/>
    <s v="Jaipur"/>
    <x v="5"/>
    <x v="3"/>
    <n v="2"/>
    <n v="316.20999999999998"/>
    <n v="0.05"/>
    <x v="482"/>
    <n v="546.45000000000005"/>
    <x v="482"/>
    <x v="0"/>
    <x v="4"/>
    <x v="1"/>
    <x v="6"/>
    <n v="7"/>
    <s v="Q3"/>
    <n v="9.0462716378162458E-2"/>
  </r>
  <r>
    <x v="483"/>
    <x v="164"/>
    <s v="CUST1113"/>
    <s v="Customer 1165"/>
    <x v="0"/>
    <s v="Bhubaneswar"/>
    <x v="3"/>
    <x v="2"/>
    <n v="4"/>
    <n v="1365.93"/>
    <n v="0.02"/>
    <x v="483"/>
    <n v="4249.75"/>
    <x v="483"/>
    <x v="1"/>
    <x v="4"/>
    <x v="1"/>
    <x v="6"/>
    <n v="7"/>
    <s v="Q3"/>
    <n v="0.20631437402534342"/>
  </r>
  <r>
    <x v="484"/>
    <x v="165"/>
    <s v="CUST1038"/>
    <s v="Customer 1226"/>
    <x v="1"/>
    <s v="Bengaluru"/>
    <x v="3"/>
    <x v="2"/>
    <n v="4"/>
    <n v="563.83000000000004"/>
    <n v="0.02"/>
    <x v="484"/>
    <n v="1925.7"/>
    <x v="484"/>
    <x v="1"/>
    <x v="2"/>
    <x v="2"/>
    <x v="6"/>
    <n v="7"/>
    <s v="Q3"/>
    <n v="0.12872532474289772"/>
  </r>
  <r>
    <x v="485"/>
    <x v="165"/>
    <s v="CUST1052"/>
    <s v="Customer 1087"/>
    <x v="4"/>
    <s v="Delhi"/>
    <x v="8"/>
    <x v="0"/>
    <n v="1"/>
    <n v="23015.73"/>
    <n v="0"/>
    <x v="485"/>
    <n v="19485.2"/>
    <x v="485"/>
    <x v="1"/>
    <x v="3"/>
    <x v="0"/>
    <x v="6"/>
    <n v="7"/>
    <s v="Q3"/>
    <n v="0.15339639455276893"/>
  </r>
  <r>
    <x v="486"/>
    <x v="165"/>
    <s v="CUST1150"/>
    <s v="Customer 1264"/>
    <x v="1"/>
    <s v="Hyderabad"/>
    <x v="4"/>
    <x v="1"/>
    <n v="2"/>
    <n v="7621.52"/>
    <n v="0.15"/>
    <x v="486"/>
    <n v="12574.15"/>
    <x v="486"/>
    <x v="0"/>
    <x v="0"/>
    <x v="1"/>
    <x v="6"/>
    <n v="7"/>
    <s v="Q3"/>
    <n v="2.9516276671776042E-2"/>
  </r>
  <r>
    <x v="487"/>
    <x v="166"/>
    <s v="CUST1083"/>
    <s v="Customer 1186"/>
    <x v="0"/>
    <s v="Bhubaneswar"/>
    <x v="8"/>
    <x v="0"/>
    <n v="1"/>
    <n v="23240.39"/>
    <n v="0"/>
    <x v="487"/>
    <n v="16505.099999999999"/>
    <x v="487"/>
    <x v="0"/>
    <x v="1"/>
    <x v="1"/>
    <x v="6"/>
    <n v="7"/>
    <s v="Q3"/>
    <n v="0.28980968047438105"/>
  </r>
  <r>
    <x v="488"/>
    <x v="166"/>
    <s v="CUST1159"/>
    <s v="Customer 1243"/>
    <x v="2"/>
    <s v="Ahmedabad"/>
    <x v="4"/>
    <x v="1"/>
    <n v="1"/>
    <n v="6335.99"/>
    <n v="0.15"/>
    <x v="488"/>
    <n v="4638.3"/>
    <x v="488"/>
    <x v="1"/>
    <x v="0"/>
    <x v="0"/>
    <x v="6"/>
    <n v="7"/>
    <s v="Q3"/>
    <n v="0.13875731349768547"/>
  </r>
  <r>
    <x v="489"/>
    <x v="166"/>
    <s v="CUST1230"/>
    <s v="Customer 1271"/>
    <x v="4"/>
    <s v="Delhi"/>
    <x v="10"/>
    <x v="0"/>
    <n v="1"/>
    <n v="53070.95"/>
    <n v="0.15"/>
    <x v="489"/>
    <n v="34082.410000000003"/>
    <x v="489"/>
    <x v="1"/>
    <x v="1"/>
    <x v="2"/>
    <x v="6"/>
    <n v="7"/>
    <s v="Q3"/>
    <n v="0.24446517880280583"/>
  </r>
  <r>
    <x v="490"/>
    <x v="166"/>
    <s v="CUST1128"/>
    <s v="Customer 1201"/>
    <x v="2"/>
    <s v="Mumbai"/>
    <x v="7"/>
    <x v="4"/>
    <n v="2"/>
    <n v="2799.29"/>
    <n v="0.15"/>
    <x v="490"/>
    <n v="4567.83"/>
    <x v="490"/>
    <x v="1"/>
    <x v="0"/>
    <x v="2"/>
    <x v="6"/>
    <n v="7"/>
    <s v="Q3"/>
    <n v="4.01278476251316E-2"/>
  </r>
  <r>
    <x v="491"/>
    <x v="166"/>
    <s v="CUST1004"/>
    <s v="Customer 1132"/>
    <x v="3"/>
    <s v="Bhopal"/>
    <x v="11"/>
    <x v="4"/>
    <n v="1"/>
    <n v="1975.89"/>
    <n v="0"/>
    <x v="491"/>
    <n v="1308.55"/>
    <x v="491"/>
    <x v="1"/>
    <x v="2"/>
    <x v="0"/>
    <x v="6"/>
    <n v="7"/>
    <s v="Q3"/>
    <n v="0.33774147346259153"/>
  </r>
  <r>
    <x v="492"/>
    <x v="166"/>
    <s v="CUST1057"/>
    <s v="Customer 1047"/>
    <x v="2"/>
    <s v="Ahmedabad"/>
    <x v="3"/>
    <x v="2"/>
    <n v="4"/>
    <n v="1271.83"/>
    <n v="0.1"/>
    <x v="492"/>
    <n v="3600.34"/>
    <x v="492"/>
    <x v="1"/>
    <x v="0"/>
    <x v="1"/>
    <x v="6"/>
    <n v="7"/>
    <s v="Q3"/>
    <n v="0.21365747970445048"/>
  </r>
  <r>
    <x v="493"/>
    <x v="166"/>
    <s v="CUST1057"/>
    <s v="Customer 1251"/>
    <x v="3"/>
    <s v="Bhopal"/>
    <x v="6"/>
    <x v="2"/>
    <n v="4"/>
    <n v="2725.63"/>
    <n v="0.15"/>
    <x v="493"/>
    <n v="9231.68"/>
    <x v="493"/>
    <x v="0"/>
    <x v="4"/>
    <x v="1"/>
    <x v="6"/>
    <n v="7"/>
    <s v="Q3"/>
    <n v="3.8264232546395115E-3"/>
  </r>
  <r>
    <x v="494"/>
    <x v="166"/>
    <s v="CUST1057"/>
    <s v="Customer 1199"/>
    <x v="1"/>
    <s v="Chennai"/>
    <x v="10"/>
    <x v="0"/>
    <n v="4"/>
    <n v="25268.33"/>
    <n v="0.15"/>
    <x v="494"/>
    <n v="72954.69"/>
    <x v="494"/>
    <x v="1"/>
    <x v="2"/>
    <x v="1"/>
    <x v="6"/>
    <n v="7"/>
    <s v="Q3"/>
    <n v="0.15082388649264736"/>
  </r>
  <r>
    <x v="495"/>
    <x v="167"/>
    <s v="CUST1255"/>
    <s v="Customer 1068"/>
    <x v="4"/>
    <s v="Lucknow"/>
    <x v="4"/>
    <x v="1"/>
    <n v="4"/>
    <n v="7718.27"/>
    <n v="0.05"/>
    <x v="495"/>
    <n v="20775.080000000002"/>
    <x v="495"/>
    <x v="0"/>
    <x v="3"/>
    <x v="1"/>
    <x v="6"/>
    <n v="7"/>
    <s v="Q3"/>
    <n v="0.29166437943049012"/>
  </r>
  <r>
    <x v="496"/>
    <x v="167"/>
    <s v="CUST1192"/>
    <s v="Customer 1069"/>
    <x v="1"/>
    <s v="Chennai"/>
    <x v="11"/>
    <x v="4"/>
    <n v="2"/>
    <n v="1714.81"/>
    <n v="0.15"/>
    <x v="496"/>
    <n v="2695.51"/>
    <x v="496"/>
    <x v="0"/>
    <x v="3"/>
    <x v="2"/>
    <x v="6"/>
    <n v="7"/>
    <s v="Q3"/>
    <n v="7.5353837498885148E-2"/>
  </r>
  <r>
    <x v="497"/>
    <x v="167"/>
    <s v="CUST1017"/>
    <s v="Customer 1019"/>
    <x v="3"/>
    <s v="Bhopal"/>
    <x v="4"/>
    <x v="1"/>
    <n v="1"/>
    <n v="9401.9500000000007"/>
    <n v="0.02"/>
    <x v="497"/>
    <n v="7266.34"/>
    <x v="497"/>
    <x v="1"/>
    <x v="1"/>
    <x v="0"/>
    <x v="6"/>
    <n v="7"/>
    <s v="Q3"/>
    <n v="0.21137280481359161"/>
  </r>
  <r>
    <x v="498"/>
    <x v="168"/>
    <s v="CUST1175"/>
    <s v="Customer 1051"/>
    <x v="4"/>
    <s v="Lucknow"/>
    <x v="3"/>
    <x v="2"/>
    <n v="2"/>
    <n v="779.83"/>
    <n v="0.1"/>
    <x v="498"/>
    <n v="1115.55"/>
    <x v="498"/>
    <x v="0"/>
    <x v="4"/>
    <x v="0"/>
    <x v="6"/>
    <n v="7"/>
    <s v="Q3"/>
    <n v="0.20527324409235656"/>
  </r>
  <r>
    <x v="499"/>
    <x v="168"/>
    <s v="CUST1122"/>
    <s v="Customer 1046"/>
    <x v="2"/>
    <s v="Mumbai"/>
    <x v="0"/>
    <x v="0"/>
    <n v="1"/>
    <n v="13908.38"/>
    <n v="0.15"/>
    <x v="499"/>
    <n v="11653.94"/>
    <x v="499"/>
    <x v="0"/>
    <x v="2"/>
    <x v="1"/>
    <x v="6"/>
    <n v="7"/>
    <s v="Q3"/>
    <n v="1.4225874885384347E-2"/>
  </r>
  <r>
    <x v="500"/>
    <x v="168"/>
    <s v="CUST1089"/>
    <s v="Customer 1116"/>
    <x v="2"/>
    <s v="Mumbai"/>
    <x v="5"/>
    <x v="3"/>
    <n v="1"/>
    <n v="269.06"/>
    <n v="0"/>
    <x v="500"/>
    <n v="177.35"/>
    <x v="500"/>
    <x v="0"/>
    <x v="0"/>
    <x v="1"/>
    <x v="6"/>
    <n v="7"/>
    <s v="Q3"/>
    <n v="0.34085334126217198"/>
  </r>
  <r>
    <x v="501"/>
    <x v="169"/>
    <s v="CUST1181"/>
    <s v="Customer 1078"/>
    <x v="1"/>
    <s v="Hyderabad"/>
    <x v="10"/>
    <x v="0"/>
    <n v="1"/>
    <n v="19016.41"/>
    <n v="0.05"/>
    <x v="501"/>
    <n v="16702.689999999999"/>
    <x v="501"/>
    <x v="0"/>
    <x v="4"/>
    <x v="2"/>
    <x v="6"/>
    <n v="7"/>
    <s v="Q3"/>
    <n v="7.5441765256490378E-2"/>
  </r>
  <r>
    <x v="502"/>
    <x v="169"/>
    <s v="CUST1147"/>
    <s v="Customer 1255"/>
    <x v="2"/>
    <s v="Mumbai"/>
    <x v="9"/>
    <x v="0"/>
    <n v="4"/>
    <n v="7264.74"/>
    <n v="0.05"/>
    <x v="502"/>
    <n v="18153.16"/>
    <x v="502"/>
    <x v="0"/>
    <x v="3"/>
    <x v="2"/>
    <x v="6"/>
    <n v="7"/>
    <s v="Q3"/>
    <n v="0.34242000202129902"/>
  </r>
  <r>
    <x v="503"/>
    <x v="169"/>
    <s v="CUST1189"/>
    <s v="Customer 1151"/>
    <x v="1"/>
    <s v="Bengaluru"/>
    <x v="1"/>
    <x v="1"/>
    <n v="1"/>
    <n v="15537.01"/>
    <n v="0.15"/>
    <x v="503"/>
    <n v="12894.85"/>
    <x v="503"/>
    <x v="0"/>
    <x v="4"/>
    <x v="1"/>
    <x v="6"/>
    <n v="7"/>
    <s v="Q3"/>
    <n v="2.3595270799290653E-2"/>
  </r>
  <r>
    <x v="504"/>
    <x v="170"/>
    <s v="CUST1283"/>
    <s v="Customer 1013"/>
    <x v="2"/>
    <s v="Ahmedabad"/>
    <x v="9"/>
    <x v="0"/>
    <n v="1"/>
    <n v="6002.11"/>
    <n v="0"/>
    <x v="504"/>
    <n v="4565.1499999999996"/>
    <x v="504"/>
    <x v="0"/>
    <x v="1"/>
    <x v="2"/>
    <x v="6"/>
    <n v="7"/>
    <s v="Q3"/>
    <n v="0.23940914111870662"/>
  </r>
  <r>
    <x v="505"/>
    <x v="170"/>
    <s v="CUST1073"/>
    <s v="Customer 1118"/>
    <x v="3"/>
    <s v="Indore"/>
    <x v="7"/>
    <x v="4"/>
    <n v="1"/>
    <n v="1426.02"/>
    <n v="0.15"/>
    <x v="505"/>
    <n v="886.27"/>
    <x v="505"/>
    <x v="0"/>
    <x v="0"/>
    <x v="1"/>
    <x v="6"/>
    <n v="7"/>
    <s v="Q3"/>
    <n v="0.26882651882651887"/>
  </r>
  <r>
    <x v="506"/>
    <x v="170"/>
    <s v="CUST1132"/>
    <s v="Customer 1138"/>
    <x v="4"/>
    <s v="Jaipur"/>
    <x v="11"/>
    <x v="4"/>
    <n v="1"/>
    <n v="824.88"/>
    <n v="0.1"/>
    <x v="506"/>
    <n v="517.80999999999995"/>
    <x v="506"/>
    <x v="1"/>
    <x v="1"/>
    <x v="1"/>
    <x v="6"/>
    <n v="7"/>
    <s v="Q3"/>
    <n v="0.30250946268133999"/>
  </r>
  <r>
    <x v="507"/>
    <x v="171"/>
    <s v="CUST1123"/>
    <s v="Customer 1136"/>
    <x v="1"/>
    <s v="Chennai"/>
    <x v="4"/>
    <x v="1"/>
    <n v="1"/>
    <n v="16043.04"/>
    <n v="0.05"/>
    <x v="507"/>
    <n v="11912.66"/>
    <x v="507"/>
    <x v="1"/>
    <x v="1"/>
    <x v="0"/>
    <x v="6"/>
    <n v="7"/>
    <s v="Q3"/>
    <n v="0.2183750424023794"/>
  </r>
  <r>
    <x v="508"/>
    <x v="171"/>
    <s v="CUST1016"/>
    <s v="Customer 1077"/>
    <x v="1"/>
    <s v="Hyderabad"/>
    <x v="0"/>
    <x v="0"/>
    <n v="4"/>
    <n v="8491.08"/>
    <n v="0.1"/>
    <x v="508"/>
    <n v="22928.21"/>
    <x v="508"/>
    <x v="1"/>
    <x v="0"/>
    <x v="0"/>
    <x v="6"/>
    <n v="7"/>
    <s v="Q3"/>
    <n v="0.24992500300151566"/>
  </r>
  <r>
    <x v="509"/>
    <x v="171"/>
    <s v="CUST1203"/>
    <s v="Customer 1026"/>
    <x v="2"/>
    <s v="Ahmedabad"/>
    <x v="11"/>
    <x v="4"/>
    <n v="3"/>
    <n v="2157.61"/>
    <n v="0.05"/>
    <x v="509"/>
    <n v="5394.61"/>
    <x v="509"/>
    <x v="1"/>
    <x v="3"/>
    <x v="0"/>
    <x v="6"/>
    <n v="7"/>
    <s v="Q3"/>
    <n v="0.12271209704042323"/>
  </r>
  <r>
    <x v="510"/>
    <x v="172"/>
    <s v="CUST1107"/>
    <s v="Customer 1134"/>
    <x v="4"/>
    <s v="Delhi"/>
    <x v="6"/>
    <x v="2"/>
    <n v="2"/>
    <n v="1156.2"/>
    <n v="0.1"/>
    <x v="510"/>
    <n v="1568.08"/>
    <x v="510"/>
    <x v="0"/>
    <x v="1"/>
    <x v="2"/>
    <x v="6"/>
    <n v="7"/>
    <s v="Q3"/>
    <n v="0.24653558592323516"/>
  </r>
  <r>
    <x v="511"/>
    <x v="172"/>
    <s v="CUST1157"/>
    <s v="Customer 1098"/>
    <x v="4"/>
    <s v="Lucknow"/>
    <x v="0"/>
    <x v="0"/>
    <n v="2"/>
    <n v="10658.31"/>
    <n v="0.05"/>
    <x v="511"/>
    <n v="14895.16"/>
    <x v="511"/>
    <x v="0"/>
    <x v="4"/>
    <x v="0"/>
    <x v="6"/>
    <n v="7"/>
    <s v="Q3"/>
    <n v="0.26446523814626488"/>
  </r>
  <r>
    <x v="512"/>
    <x v="173"/>
    <s v="CUST1274"/>
    <s v="Customer 1201"/>
    <x v="1"/>
    <s v="Bengaluru"/>
    <x v="7"/>
    <x v="4"/>
    <n v="2"/>
    <n v="3380.98"/>
    <n v="0.05"/>
    <x v="512"/>
    <n v="5754.33"/>
    <x v="512"/>
    <x v="1"/>
    <x v="3"/>
    <x v="0"/>
    <x v="6"/>
    <n v="7"/>
    <s v="Q3"/>
    <n v="0.10422549681966917"/>
  </r>
  <r>
    <x v="513"/>
    <x v="173"/>
    <s v="CUST1248"/>
    <s v="Customer 1166"/>
    <x v="2"/>
    <s v="Ahmedabad"/>
    <x v="8"/>
    <x v="0"/>
    <n v="1"/>
    <n v="15417.11"/>
    <n v="0.05"/>
    <x v="513"/>
    <n v="11089.67"/>
    <x v="513"/>
    <x v="0"/>
    <x v="3"/>
    <x v="2"/>
    <x v="6"/>
    <n v="7"/>
    <s v="Q3"/>
    <n v="0.24283212426389006"/>
  </r>
  <r>
    <x v="514"/>
    <x v="173"/>
    <s v="CUST1269"/>
    <s v="Customer 1049"/>
    <x v="2"/>
    <s v="Mumbai"/>
    <x v="2"/>
    <x v="0"/>
    <n v="1"/>
    <n v="66915.009999999995"/>
    <n v="0"/>
    <x v="514"/>
    <n v="45430.65"/>
    <x v="514"/>
    <x v="0"/>
    <x v="2"/>
    <x v="0"/>
    <x v="6"/>
    <n v="7"/>
    <s v="Q3"/>
    <n v="0.32106936844214778"/>
  </r>
  <r>
    <x v="515"/>
    <x v="173"/>
    <s v="CUST1111"/>
    <s v="Customer 1258"/>
    <x v="1"/>
    <s v="Chennai"/>
    <x v="2"/>
    <x v="0"/>
    <n v="2"/>
    <n v="74628.95"/>
    <n v="0.15"/>
    <x v="515"/>
    <n v="104756.55"/>
    <x v="515"/>
    <x v="1"/>
    <x v="0"/>
    <x v="0"/>
    <x v="6"/>
    <n v="7"/>
    <s v="Q3"/>
    <n v="0.17429492940012789"/>
  </r>
  <r>
    <x v="516"/>
    <x v="173"/>
    <s v="CUST1071"/>
    <s v="Customer 1248"/>
    <x v="4"/>
    <s v="Lucknow"/>
    <x v="10"/>
    <x v="0"/>
    <n v="1"/>
    <n v="50043.32"/>
    <n v="0.02"/>
    <x v="516"/>
    <n v="37987.449999999997"/>
    <x v="516"/>
    <x v="0"/>
    <x v="2"/>
    <x v="2"/>
    <x v="6"/>
    <n v="7"/>
    <s v="Q3"/>
    <n v="0.22541696020488375"/>
  </r>
  <r>
    <x v="517"/>
    <x v="173"/>
    <s v="CUST1297"/>
    <s v="Customer 1252"/>
    <x v="2"/>
    <s v="Ahmedabad"/>
    <x v="10"/>
    <x v="0"/>
    <n v="4"/>
    <n v="46836.51"/>
    <n v="0.1"/>
    <x v="517"/>
    <n v="164053.04"/>
    <x v="517"/>
    <x v="1"/>
    <x v="2"/>
    <x v="1"/>
    <x v="6"/>
    <n v="7"/>
    <s v="Q3"/>
    <n v="2.7034939029048084E-2"/>
  </r>
  <r>
    <x v="518"/>
    <x v="174"/>
    <s v="CUST1073"/>
    <s v="Customer 1059"/>
    <x v="3"/>
    <s v="Bhopal"/>
    <x v="7"/>
    <x v="4"/>
    <n v="1"/>
    <n v="2052.75"/>
    <n v="0.15"/>
    <x v="518"/>
    <n v="1584.97"/>
    <x v="518"/>
    <x v="0"/>
    <x v="2"/>
    <x v="0"/>
    <x v="6"/>
    <n v="7"/>
    <s v="Q3"/>
    <n v="9.1624446940693716E-2"/>
  </r>
  <r>
    <x v="519"/>
    <x v="174"/>
    <s v="CUST1221"/>
    <s v="Customer 1060"/>
    <x v="1"/>
    <s v="Bengaluru"/>
    <x v="0"/>
    <x v="0"/>
    <n v="3"/>
    <n v="10571.19"/>
    <n v="0.02"/>
    <x v="519"/>
    <n v="22258.32"/>
    <x v="519"/>
    <x v="0"/>
    <x v="1"/>
    <x v="1"/>
    <x v="6"/>
    <n v="7"/>
    <s v="Q3"/>
    <n v="0.28382170769611925"/>
  </r>
  <r>
    <x v="520"/>
    <x v="174"/>
    <s v="CUST1142"/>
    <s v="Customer 1252"/>
    <x v="2"/>
    <s v="Ahmedabad"/>
    <x v="5"/>
    <x v="3"/>
    <n v="1"/>
    <n v="181.82"/>
    <n v="0"/>
    <x v="520"/>
    <n v="119.81"/>
    <x v="520"/>
    <x v="0"/>
    <x v="2"/>
    <x v="2"/>
    <x v="6"/>
    <n v="7"/>
    <s v="Q3"/>
    <n v="0.34105158948410513"/>
  </r>
  <r>
    <x v="521"/>
    <x v="174"/>
    <s v="CUST1109"/>
    <s v="Customer 1079"/>
    <x v="1"/>
    <s v="Hyderabad"/>
    <x v="7"/>
    <x v="4"/>
    <n v="1"/>
    <n v="2885.81"/>
    <n v="0.1"/>
    <x v="521"/>
    <n v="2405.81"/>
    <x v="521"/>
    <x v="0"/>
    <x v="0"/>
    <x v="2"/>
    <x v="6"/>
    <n v="7"/>
    <s v="Q3"/>
    <n v="7.3701597471151958E-2"/>
  </r>
  <r>
    <x v="522"/>
    <x v="175"/>
    <s v="CUST1134"/>
    <s v="Customer 1067"/>
    <x v="4"/>
    <s v="Delhi"/>
    <x v="4"/>
    <x v="1"/>
    <n v="2"/>
    <n v="11914.15"/>
    <n v="0.05"/>
    <x v="522"/>
    <n v="18136.689999999999"/>
    <x v="522"/>
    <x v="1"/>
    <x v="1"/>
    <x v="1"/>
    <x v="6"/>
    <n v="7"/>
    <s v="Q3"/>
    <n v="0.1987990394435982"/>
  </r>
  <r>
    <x v="523"/>
    <x v="175"/>
    <s v="CUST1159"/>
    <s v="Customer 1080"/>
    <x v="4"/>
    <s v="Lucknow"/>
    <x v="9"/>
    <x v="0"/>
    <n v="1"/>
    <n v="5376.35"/>
    <n v="0"/>
    <x v="523"/>
    <n v="4476.6499999999996"/>
    <x v="523"/>
    <x v="1"/>
    <x v="0"/>
    <x v="1"/>
    <x v="6"/>
    <n v="7"/>
    <s v="Q3"/>
    <n v="0.16734401592158249"/>
  </r>
  <r>
    <x v="524"/>
    <x v="176"/>
    <s v="CUST1154"/>
    <s v="Customer 1040"/>
    <x v="0"/>
    <s v="Kolkata"/>
    <x v="9"/>
    <x v="0"/>
    <n v="1"/>
    <n v="3419.1"/>
    <n v="0.05"/>
    <x v="524"/>
    <n v="2247.69"/>
    <x v="524"/>
    <x v="1"/>
    <x v="3"/>
    <x v="1"/>
    <x v="6"/>
    <n v="7"/>
    <s v="Q3"/>
    <n v="0.30800704403135337"/>
  </r>
  <r>
    <x v="525"/>
    <x v="176"/>
    <s v="CUST1162"/>
    <s v="Customer 1234"/>
    <x v="4"/>
    <s v="Jaipur"/>
    <x v="5"/>
    <x v="3"/>
    <n v="1"/>
    <n v="109.96"/>
    <n v="0.1"/>
    <x v="525"/>
    <n v="85.64"/>
    <x v="525"/>
    <x v="1"/>
    <x v="4"/>
    <x v="0"/>
    <x v="6"/>
    <n v="7"/>
    <s v="Q3"/>
    <n v="0.13459983831851255"/>
  </r>
  <r>
    <x v="526"/>
    <x v="177"/>
    <s v="CUST1298"/>
    <s v="Customer 1240"/>
    <x v="2"/>
    <s v="Ahmedabad"/>
    <x v="7"/>
    <x v="4"/>
    <n v="1"/>
    <n v="2950.57"/>
    <n v="0.05"/>
    <x v="526"/>
    <n v="2002.75"/>
    <x v="526"/>
    <x v="1"/>
    <x v="2"/>
    <x v="2"/>
    <x v="6"/>
    <n v="7"/>
    <s v="Q3"/>
    <n v="0.28550787716193848"/>
  </r>
  <r>
    <x v="527"/>
    <x v="177"/>
    <s v="CUST1255"/>
    <s v="Customer 1179"/>
    <x v="2"/>
    <s v="Pune"/>
    <x v="5"/>
    <x v="3"/>
    <n v="4"/>
    <n v="226.53"/>
    <n v="0"/>
    <x v="527"/>
    <n v="766.07"/>
    <x v="527"/>
    <x v="1"/>
    <x v="2"/>
    <x v="0"/>
    <x v="6"/>
    <n v="7"/>
    <s v="Q3"/>
    <n v="0.15456010241469123"/>
  </r>
  <r>
    <x v="528"/>
    <x v="177"/>
    <s v="CUST1248"/>
    <s v="Customer 1070"/>
    <x v="1"/>
    <s v="Chennai"/>
    <x v="2"/>
    <x v="0"/>
    <n v="3"/>
    <n v="67470.38"/>
    <n v="0.05"/>
    <x v="528"/>
    <n v="129989.4"/>
    <x v="528"/>
    <x v="1"/>
    <x v="0"/>
    <x v="1"/>
    <x v="6"/>
    <n v="7"/>
    <s v="Q3"/>
    <n v="0.32399496636808733"/>
  </r>
  <r>
    <x v="529"/>
    <x v="177"/>
    <s v="CUST1216"/>
    <s v="Customer 1205"/>
    <x v="2"/>
    <s v="Pune"/>
    <x v="2"/>
    <x v="0"/>
    <n v="1"/>
    <n v="68903.929999999993"/>
    <n v="0.02"/>
    <x v="529"/>
    <n v="49488.67"/>
    <x v="529"/>
    <x v="1"/>
    <x v="1"/>
    <x v="1"/>
    <x v="6"/>
    <n v="7"/>
    <s v="Q3"/>
    <n v="0.26711518625829955"/>
  </r>
  <r>
    <x v="530"/>
    <x v="178"/>
    <s v="CUST1197"/>
    <s v="Customer 1185"/>
    <x v="4"/>
    <s v="Lucknow"/>
    <x v="0"/>
    <x v="0"/>
    <n v="2"/>
    <n v="12964.2"/>
    <n v="0.05"/>
    <x v="530"/>
    <n v="16444.580000000002"/>
    <x v="530"/>
    <x v="0"/>
    <x v="0"/>
    <x v="2"/>
    <x v="6"/>
    <n v="7"/>
    <s v="Q3"/>
    <n v="0.33238903246917217"/>
  </r>
  <r>
    <x v="531"/>
    <x v="179"/>
    <s v="CUST1146"/>
    <s v="Customer 1164"/>
    <x v="0"/>
    <s v="Kolkata"/>
    <x v="8"/>
    <x v="0"/>
    <n v="1"/>
    <n v="14770.93"/>
    <n v="0.1"/>
    <x v="531"/>
    <n v="10785.32"/>
    <x v="531"/>
    <x v="0"/>
    <x v="0"/>
    <x v="2"/>
    <x v="6"/>
    <n v="7"/>
    <s v="Q3"/>
    <n v="0.18869792324866252"/>
  </r>
  <r>
    <x v="532"/>
    <x v="179"/>
    <s v="CUST1250"/>
    <s v="Customer 1069"/>
    <x v="1"/>
    <s v="Hyderabad"/>
    <x v="10"/>
    <x v="0"/>
    <n v="1"/>
    <n v="47352.03"/>
    <n v="0.02"/>
    <x v="532"/>
    <n v="40915.83"/>
    <x v="532"/>
    <x v="0"/>
    <x v="2"/>
    <x v="0"/>
    <x v="6"/>
    <n v="7"/>
    <s v="Q3"/>
    <n v="0.11828814099518177"/>
  </r>
  <r>
    <x v="533"/>
    <x v="180"/>
    <s v="CUST1239"/>
    <s v="Customer 1234"/>
    <x v="1"/>
    <s v="Hyderabad"/>
    <x v="5"/>
    <x v="3"/>
    <n v="2"/>
    <n v="294.88"/>
    <n v="0.05"/>
    <x v="533"/>
    <n v="451.55"/>
    <x v="533"/>
    <x v="1"/>
    <x v="3"/>
    <x v="1"/>
    <x v="6"/>
    <n v="7"/>
    <s v="Q3"/>
    <n v="0.19404929766005677"/>
  </r>
  <r>
    <x v="534"/>
    <x v="180"/>
    <s v="CUST1061"/>
    <s v="Customer 1026"/>
    <x v="2"/>
    <s v="Ahmedabad"/>
    <x v="4"/>
    <x v="1"/>
    <n v="2"/>
    <n v="9749.77"/>
    <n v="0.15"/>
    <x v="534"/>
    <n v="14901.57"/>
    <x v="534"/>
    <x v="1"/>
    <x v="0"/>
    <x v="2"/>
    <x v="6"/>
    <n v="7"/>
    <s v="Q3"/>
    <n v="0.10093993161830052"/>
  </r>
  <r>
    <x v="535"/>
    <x v="181"/>
    <s v="CUST1161"/>
    <s v="Customer 1028"/>
    <x v="2"/>
    <s v="Ahmedabad"/>
    <x v="4"/>
    <x v="1"/>
    <n v="2"/>
    <n v="7440.39"/>
    <n v="0.02"/>
    <x v="535"/>
    <n v="11930.32"/>
    <x v="535"/>
    <x v="0"/>
    <x v="0"/>
    <x v="0"/>
    <x v="6"/>
    <n v="7"/>
    <s v="Q3"/>
    <n v="0.18191119071586681"/>
  </r>
  <r>
    <x v="536"/>
    <x v="181"/>
    <s v="CUST1006"/>
    <s v="Customer 1297"/>
    <x v="4"/>
    <s v="Delhi"/>
    <x v="1"/>
    <x v="1"/>
    <n v="2"/>
    <n v="6664.99"/>
    <n v="0.05"/>
    <x v="536"/>
    <n v="10373"/>
    <x v="536"/>
    <x v="1"/>
    <x v="3"/>
    <x v="2"/>
    <x v="6"/>
    <n v="7"/>
    <s v="Q3"/>
    <n v="0.18087287222785522"/>
  </r>
  <r>
    <x v="537"/>
    <x v="182"/>
    <s v="CUST1152"/>
    <s v="Customer 1026"/>
    <x v="2"/>
    <s v="Mumbai"/>
    <x v="3"/>
    <x v="2"/>
    <n v="4"/>
    <n v="375.9"/>
    <n v="0.15"/>
    <x v="537"/>
    <n v="1169.71"/>
    <x v="537"/>
    <x v="0"/>
    <x v="0"/>
    <x v="0"/>
    <x v="6"/>
    <n v="7"/>
    <s v="Q3"/>
    <n v="8.4776927530788845E-2"/>
  </r>
  <r>
    <x v="538"/>
    <x v="182"/>
    <s v="CUST1214"/>
    <s v="Customer 1056"/>
    <x v="1"/>
    <s v="Bengaluru"/>
    <x v="0"/>
    <x v="0"/>
    <n v="3"/>
    <n v="10100.68"/>
    <n v="0"/>
    <x v="538"/>
    <n v="24065.51"/>
    <x v="538"/>
    <x v="1"/>
    <x v="3"/>
    <x v="2"/>
    <x v="6"/>
    <n v="7"/>
    <s v="Q3"/>
    <n v="0.205812215943217"/>
  </r>
  <r>
    <x v="539"/>
    <x v="182"/>
    <s v="CUST1195"/>
    <s v="Customer 1158"/>
    <x v="3"/>
    <s v="Indore"/>
    <x v="3"/>
    <x v="2"/>
    <n v="2"/>
    <n v="1109.02"/>
    <n v="0.05"/>
    <x v="539"/>
    <n v="1618.86"/>
    <x v="539"/>
    <x v="0"/>
    <x v="3"/>
    <x v="2"/>
    <x v="6"/>
    <n v="7"/>
    <s v="Q3"/>
    <n v="0.23172641590022494"/>
  </r>
  <r>
    <x v="540"/>
    <x v="183"/>
    <s v="CUST1179"/>
    <s v="Customer 1197"/>
    <x v="2"/>
    <s v="Ahmedabad"/>
    <x v="10"/>
    <x v="0"/>
    <n v="2"/>
    <n v="43177.74"/>
    <n v="0.15"/>
    <x v="540"/>
    <n v="74523.17"/>
    <x v="540"/>
    <x v="1"/>
    <x v="0"/>
    <x v="2"/>
    <x v="6"/>
    <n v="7"/>
    <s v="Q3"/>
    <n v="-1.5272166377665179E-2"/>
  </r>
  <r>
    <x v="541"/>
    <x v="183"/>
    <s v="CUST1040"/>
    <s v="Customer 1059"/>
    <x v="2"/>
    <s v="Mumbai"/>
    <x v="3"/>
    <x v="2"/>
    <n v="1"/>
    <n v="351.41"/>
    <n v="0.05"/>
    <x v="541"/>
    <n v="224.27"/>
    <x v="541"/>
    <x v="1"/>
    <x v="4"/>
    <x v="2"/>
    <x v="6"/>
    <n v="7"/>
    <s v="Q3"/>
    <n v="0.32821111909896955"/>
  </r>
  <r>
    <x v="542"/>
    <x v="184"/>
    <s v="CUST1283"/>
    <s v="Customer 1245"/>
    <x v="4"/>
    <s v="Jaipur"/>
    <x v="9"/>
    <x v="0"/>
    <n v="4"/>
    <n v="3469.94"/>
    <n v="0.05"/>
    <x v="542"/>
    <n v="11020.62"/>
    <x v="542"/>
    <x v="1"/>
    <x v="0"/>
    <x v="0"/>
    <x v="6"/>
    <n v="7"/>
    <s v="Q3"/>
    <n v="0.16420353153437381"/>
  </r>
  <r>
    <x v="543"/>
    <x v="185"/>
    <s v="CUST1257"/>
    <s v="Customer 1205"/>
    <x v="0"/>
    <s v="Bhubaneswar"/>
    <x v="8"/>
    <x v="0"/>
    <n v="1"/>
    <n v="14635.14"/>
    <n v="0.15"/>
    <x v="543"/>
    <n v="9079.7999999999993"/>
    <x v="543"/>
    <x v="1"/>
    <x v="1"/>
    <x v="0"/>
    <x v="6"/>
    <n v="7"/>
    <s v="Q3"/>
    <n v="0.270104912671917"/>
  </r>
  <r>
    <x v="544"/>
    <x v="185"/>
    <s v="CUST1169"/>
    <s v="Customer 1161"/>
    <x v="4"/>
    <s v="Delhi"/>
    <x v="10"/>
    <x v="0"/>
    <n v="1"/>
    <n v="23949.9"/>
    <n v="0.02"/>
    <x v="544"/>
    <n v="19157.349999999999"/>
    <x v="544"/>
    <x v="0"/>
    <x v="0"/>
    <x v="1"/>
    <x v="6"/>
    <n v="7"/>
    <s v="Q3"/>
    <n v="0.1837828971194117"/>
  </r>
  <r>
    <x v="545"/>
    <x v="185"/>
    <s v="CUST1137"/>
    <s v="Customer 1184"/>
    <x v="0"/>
    <s v="Kolkata"/>
    <x v="6"/>
    <x v="2"/>
    <n v="1"/>
    <n v="1792.81"/>
    <n v="0.1"/>
    <x v="545"/>
    <n v="1198.1199999999999"/>
    <x v="545"/>
    <x v="0"/>
    <x v="3"/>
    <x v="0"/>
    <x v="6"/>
    <n v="7"/>
    <s v="Q3"/>
    <n v="0.25745415331602139"/>
  </r>
  <r>
    <x v="546"/>
    <x v="185"/>
    <s v="CUST1220"/>
    <s v="Customer 1190"/>
    <x v="1"/>
    <s v="Chennai"/>
    <x v="7"/>
    <x v="4"/>
    <n v="4"/>
    <n v="989.29"/>
    <n v="0.1"/>
    <x v="546"/>
    <n v="3025.82"/>
    <x v="546"/>
    <x v="0"/>
    <x v="3"/>
    <x v="1"/>
    <x v="6"/>
    <n v="7"/>
    <s v="Q3"/>
    <n v="0.15039422256166046"/>
  </r>
  <r>
    <x v="547"/>
    <x v="186"/>
    <s v="CUST1129"/>
    <s v="Customer 1288"/>
    <x v="1"/>
    <s v="Bengaluru"/>
    <x v="9"/>
    <x v="0"/>
    <n v="1"/>
    <n v="5357.12"/>
    <n v="0.05"/>
    <x v="547"/>
    <n v="3558.84"/>
    <x v="547"/>
    <x v="0"/>
    <x v="0"/>
    <x v="2"/>
    <x v="6"/>
    <n v="7"/>
    <s v="Q3"/>
    <n v="0.30071562466841939"/>
  </r>
  <r>
    <x v="548"/>
    <x v="186"/>
    <s v="CUST1293"/>
    <s v="Customer 1252"/>
    <x v="3"/>
    <s v="Bhopal"/>
    <x v="5"/>
    <x v="3"/>
    <n v="1"/>
    <n v="140.44"/>
    <n v="0"/>
    <x v="548"/>
    <n v="97.69"/>
    <x v="548"/>
    <x v="0"/>
    <x v="2"/>
    <x v="2"/>
    <x v="6"/>
    <n v="7"/>
    <s v="Q3"/>
    <n v="0.30440045571062374"/>
  </r>
  <r>
    <x v="549"/>
    <x v="187"/>
    <s v="CUST1041"/>
    <s v="Customer 1173"/>
    <x v="3"/>
    <s v="Indore"/>
    <x v="10"/>
    <x v="0"/>
    <n v="1"/>
    <n v="38132.660000000003"/>
    <n v="0"/>
    <x v="549"/>
    <n v="31146.79"/>
    <x v="549"/>
    <x v="0"/>
    <x v="0"/>
    <x v="1"/>
    <x v="6"/>
    <n v="7"/>
    <s v="Q3"/>
    <n v="0.18319912641814129"/>
  </r>
  <r>
    <x v="550"/>
    <x v="187"/>
    <s v="CUST1029"/>
    <s v="Customer 1039"/>
    <x v="3"/>
    <s v="Nagpur"/>
    <x v="9"/>
    <x v="0"/>
    <n v="1"/>
    <n v="5896.23"/>
    <n v="0.02"/>
    <x v="550"/>
    <n v="4227.29"/>
    <x v="550"/>
    <x v="1"/>
    <x v="4"/>
    <x v="0"/>
    <x v="6"/>
    <n v="7"/>
    <s v="Q3"/>
    <n v="0.2684210435231062"/>
  </r>
  <r>
    <x v="551"/>
    <x v="187"/>
    <s v="CUST1144"/>
    <s v="Customer 1096"/>
    <x v="2"/>
    <s v="Ahmedabad"/>
    <x v="10"/>
    <x v="0"/>
    <n v="3"/>
    <n v="27704.15"/>
    <n v="0"/>
    <x v="551"/>
    <n v="54920.26"/>
    <x v="551"/>
    <x v="0"/>
    <x v="2"/>
    <x v="1"/>
    <x v="6"/>
    <n v="7"/>
    <s v="Q3"/>
    <n v="0.33920537777432863"/>
  </r>
  <r>
    <x v="552"/>
    <x v="188"/>
    <s v="CUST1249"/>
    <s v="Customer 1227"/>
    <x v="0"/>
    <s v="Kolkata"/>
    <x v="10"/>
    <x v="0"/>
    <n v="1"/>
    <n v="35422.089999999997"/>
    <n v="0.1"/>
    <x v="552"/>
    <n v="26411.67"/>
    <x v="552"/>
    <x v="0"/>
    <x v="2"/>
    <x v="2"/>
    <x v="6"/>
    <n v="7"/>
    <s v="Q3"/>
    <n v="0.17152542606810314"/>
  </r>
  <r>
    <x v="553"/>
    <x v="188"/>
    <s v="CUST1150"/>
    <s v="Customer 1037"/>
    <x v="3"/>
    <s v="Indore"/>
    <x v="7"/>
    <x v="4"/>
    <n v="1"/>
    <n v="2578.5100000000002"/>
    <n v="0.1"/>
    <x v="553"/>
    <n v="1971"/>
    <x v="553"/>
    <x v="0"/>
    <x v="0"/>
    <x v="2"/>
    <x v="6"/>
    <n v="7"/>
    <s v="Q3"/>
    <n v="0.15067265346927169"/>
  </r>
  <r>
    <x v="554"/>
    <x v="188"/>
    <s v="CUST1139"/>
    <s v="Customer 1110"/>
    <x v="0"/>
    <s v="Patna"/>
    <x v="10"/>
    <x v="0"/>
    <n v="1"/>
    <n v="44173.69"/>
    <n v="0"/>
    <x v="554"/>
    <n v="30016.36"/>
    <x v="554"/>
    <x v="0"/>
    <x v="4"/>
    <x v="0"/>
    <x v="6"/>
    <n v="7"/>
    <s v="Q3"/>
    <n v="0.3204923564230201"/>
  </r>
  <r>
    <x v="555"/>
    <x v="188"/>
    <s v="CUST1118"/>
    <s v="Customer 1191"/>
    <x v="0"/>
    <s v="Kolkata"/>
    <x v="2"/>
    <x v="0"/>
    <n v="1"/>
    <n v="73191.91"/>
    <n v="0.15"/>
    <x v="555"/>
    <n v="60806.21"/>
    <x v="555"/>
    <x v="0"/>
    <x v="2"/>
    <x v="2"/>
    <x v="6"/>
    <n v="7"/>
    <s v="Q3"/>
    <n v="2.2614361729487286E-2"/>
  </r>
  <r>
    <x v="556"/>
    <x v="188"/>
    <s v="CUST1280"/>
    <s v="Customer 1026"/>
    <x v="3"/>
    <s v="Nagpur"/>
    <x v="3"/>
    <x v="2"/>
    <n v="1"/>
    <n v="1364.2"/>
    <n v="0.15"/>
    <x v="556"/>
    <n v="1111.73"/>
    <x v="556"/>
    <x v="1"/>
    <x v="4"/>
    <x v="1"/>
    <x v="6"/>
    <n v="7"/>
    <s v="Q3"/>
    <n v="4.1256672732133466E-2"/>
  </r>
  <r>
    <x v="557"/>
    <x v="189"/>
    <s v="CUST1220"/>
    <s v="Customer 1240"/>
    <x v="2"/>
    <s v="Mumbai"/>
    <x v="0"/>
    <x v="0"/>
    <n v="1"/>
    <n v="10159.200000000001"/>
    <n v="0"/>
    <x v="557"/>
    <n v="7037.67"/>
    <x v="557"/>
    <x v="1"/>
    <x v="3"/>
    <x v="1"/>
    <x v="6"/>
    <n v="7"/>
    <s v="Q3"/>
    <n v="0.30726139853531775"/>
  </r>
  <r>
    <x v="558"/>
    <x v="189"/>
    <s v="CUST1113"/>
    <s v="Customer 1044"/>
    <x v="1"/>
    <s v="Hyderabad"/>
    <x v="6"/>
    <x v="2"/>
    <n v="3"/>
    <n v="2018.89"/>
    <n v="0"/>
    <x v="558"/>
    <n v="4890.87"/>
    <x v="558"/>
    <x v="0"/>
    <x v="4"/>
    <x v="1"/>
    <x v="6"/>
    <n v="7"/>
    <s v="Q3"/>
    <n v="0.19248200743973173"/>
  </r>
  <r>
    <x v="559"/>
    <x v="190"/>
    <s v="CUST1242"/>
    <s v="Customer 1213"/>
    <x v="3"/>
    <s v="Bhopal"/>
    <x v="4"/>
    <x v="1"/>
    <n v="4"/>
    <n v="6782.43"/>
    <n v="0.15"/>
    <x v="559"/>
    <n v="18338.400000000001"/>
    <x v="559"/>
    <x v="1"/>
    <x v="2"/>
    <x v="0"/>
    <x v="7"/>
    <n v="8"/>
    <s v="Q3"/>
    <n v="0.20476178499288386"/>
  </r>
  <r>
    <x v="560"/>
    <x v="190"/>
    <s v="CUST1101"/>
    <s v="Customer 1056"/>
    <x v="1"/>
    <s v="Chennai"/>
    <x v="4"/>
    <x v="1"/>
    <n v="2"/>
    <n v="14411.86"/>
    <n v="0.05"/>
    <x v="560"/>
    <n v="20928.63"/>
    <x v="560"/>
    <x v="0"/>
    <x v="4"/>
    <x v="2"/>
    <x v="7"/>
    <n v="8"/>
    <s v="Q3"/>
    <n v="0.23569407209633295"/>
  </r>
  <r>
    <x v="561"/>
    <x v="191"/>
    <s v="CUST1256"/>
    <s v="Customer 1135"/>
    <x v="1"/>
    <s v="Hyderabad"/>
    <x v="11"/>
    <x v="4"/>
    <n v="1"/>
    <n v="1834.67"/>
    <n v="0"/>
    <x v="561"/>
    <n v="1233.42"/>
    <x v="561"/>
    <x v="1"/>
    <x v="1"/>
    <x v="1"/>
    <x v="7"/>
    <n v="8"/>
    <s v="Q3"/>
    <n v="0.32771561098181146"/>
  </r>
  <r>
    <x v="562"/>
    <x v="191"/>
    <s v="CUST1285"/>
    <s v="Customer 1239"/>
    <x v="3"/>
    <s v="Bhopal"/>
    <x v="4"/>
    <x v="1"/>
    <n v="4"/>
    <n v="15892.81"/>
    <n v="0.05"/>
    <x v="562"/>
    <n v="46265.51"/>
    <x v="562"/>
    <x v="1"/>
    <x v="3"/>
    <x v="1"/>
    <x v="7"/>
    <n v="8"/>
    <s v="Q3"/>
    <n v="0.23392189252074921"/>
  </r>
  <r>
    <x v="563"/>
    <x v="192"/>
    <s v="CUST1086"/>
    <s v="Customer 1106"/>
    <x v="0"/>
    <s v="Patna"/>
    <x v="4"/>
    <x v="1"/>
    <n v="3"/>
    <n v="15225.07"/>
    <n v="0.02"/>
    <x v="563"/>
    <n v="28842.25"/>
    <x v="563"/>
    <x v="0"/>
    <x v="1"/>
    <x v="2"/>
    <x v="7"/>
    <n v="8"/>
    <s v="Q3"/>
    <n v="0.3556490580900506"/>
  </r>
  <r>
    <x v="564"/>
    <x v="192"/>
    <s v="CUST1166"/>
    <s v="Customer 1031"/>
    <x v="1"/>
    <s v="Bengaluru"/>
    <x v="3"/>
    <x v="2"/>
    <n v="1"/>
    <n v="739.34"/>
    <n v="0.05"/>
    <x v="564"/>
    <n v="523.46"/>
    <x v="564"/>
    <x v="1"/>
    <x v="2"/>
    <x v="0"/>
    <x v="7"/>
    <n v="8"/>
    <s v="Q3"/>
    <n v="0.25472329399034699"/>
  </r>
  <r>
    <x v="565"/>
    <x v="192"/>
    <s v="CUST1197"/>
    <s v="Customer 1042"/>
    <x v="2"/>
    <s v="Ahmedabad"/>
    <x v="4"/>
    <x v="1"/>
    <n v="1"/>
    <n v="11218.36"/>
    <n v="0.15"/>
    <x v="565"/>
    <n v="9346"/>
    <x v="565"/>
    <x v="1"/>
    <x v="1"/>
    <x v="1"/>
    <x v="7"/>
    <n v="8"/>
    <s v="Q3"/>
    <n v="1.9884412219039999E-2"/>
  </r>
  <r>
    <x v="566"/>
    <x v="192"/>
    <s v="CUST1221"/>
    <s v="Customer 1235"/>
    <x v="3"/>
    <s v="Nagpur"/>
    <x v="6"/>
    <x v="2"/>
    <n v="3"/>
    <n v="3433.05"/>
    <n v="0.02"/>
    <x v="566"/>
    <n v="7567.79"/>
    <x v="566"/>
    <x v="1"/>
    <x v="2"/>
    <x v="2"/>
    <x v="7"/>
    <n v="8"/>
    <s v="Q3"/>
    <n v="0.25020682302983105"/>
  </r>
  <r>
    <x v="567"/>
    <x v="192"/>
    <s v="CUST1171"/>
    <s v="Customer 1255"/>
    <x v="0"/>
    <s v="Patna"/>
    <x v="5"/>
    <x v="3"/>
    <n v="2"/>
    <n v="180.34"/>
    <n v="0.05"/>
    <x v="567"/>
    <n v="280.32"/>
    <x v="567"/>
    <x v="1"/>
    <x v="4"/>
    <x v="2"/>
    <x v="7"/>
    <n v="8"/>
    <s v="Q3"/>
    <n v="0.18190573471472349"/>
  </r>
  <r>
    <x v="568"/>
    <x v="193"/>
    <s v="CUST1177"/>
    <s v="Customer 1080"/>
    <x v="1"/>
    <s v="Bengaluru"/>
    <x v="1"/>
    <x v="1"/>
    <n v="3"/>
    <n v="5572.7"/>
    <n v="0.05"/>
    <x v="568"/>
    <n v="12601.56"/>
    <x v="568"/>
    <x v="1"/>
    <x v="3"/>
    <x v="2"/>
    <x v="7"/>
    <n v="8"/>
    <s v="Q3"/>
    <n v="0.20656030434090009"/>
  </r>
  <r>
    <x v="569"/>
    <x v="193"/>
    <s v="CUST1154"/>
    <s v="Customer 1014"/>
    <x v="3"/>
    <s v="Indore"/>
    <x v="1"/>
    <x v="1"/>
    <n v="1"/>
    <n v="9814.2800000000007"/>
    <n v="0.1"/>
    <x v="569"/>
    <n v="7026.22"/>
    <x v="569"/>
    <x v="1"/>
    <x v="1"/>
    <x v="2"/>
    <x v="7"/>
    <n v="8"/>
    <s v="Q3"/>
    <n v="0.20453534249987265"/>
  </r>
  <r>
    <x v="570"/>
    <x v="193"/>
    <s v="CUST1089"/>
    <s v="Customer 1281"/>
    <x v="4"/>
    <s v="Jaipur"/>
    <x v="0"/>
    <x v="0"/>
    <n v="1"/>
    <n v="14718.11"/>
    <n v="0"/>
    <x v="570"/>
    <n v="10430.209999999999"/>
    <x v="570"/>
    <x v="1"/>
    <x v="2"/>
    <x v="1"/>
    <x v="7"/>
    <n v="8"/>
    <s v="Q3"/>
    <n v="0.29133496080678833"/>
  </r>
  <r>
    <x v="571"/>
    <x v="194"/>
    <s v="CUST1011"/>
    <s v="Customer 1118"/>
    <x v="4"/>
    <s v="Delhi"/>
    <x v="9"/>
    <x v="0"/>
    <n v="1"/>
    <n v="5841.68"/>
    <n v="0"/>
    <x v="571"/>
    <n v="3982.54"/>
    <x v="571"/>
    <x v="0"/>
    <x v="3"/>
    <x v="1"/>
    <x v="7"/>
    <n v="8"/>
    <s v="Q3"/>
    <n v="0.31825433779323758"/>
  </r>
  <r>
    <x v="572"/>
    <x v="194"/>
    <s v="CUST1080"/>
    <s v="Customer 1083"/>
    <x v="3"/>
    <s v="Nagpur"/>
    <x v="2"/>
    <x v="0"/>
    <n v="1"/>
    <n v="64381.19"/>
    <n v="0.1"/>
    <x v="572"/>
    <n v="42324.56"/>
    <x v="572"/>
    <x v="1"/>
    <x v="3"/>
    <x v="2"/>
    <x v="7"/>
    <n v="8"/>
    <s v="Q3"/>
    <n v="0.26954923168551476"/>
  </r>
  <r>
    <x v="573"/>
    <x v="194"/>
    <s v="CUST1154"/>
    <s v="Customer 1154"/>
    <x v="0"/>
    <s v="Patna"/>
    <x v="5"/>
    <x v="3"/>
    <n v="1"/>
    <n v="152.63"/>
    <n v="0.02"/>
    <x v="573"/>
    <n v="131.11000000000001"/>
    <x v="573"/>
    <x v="0"/>
    <x v="4"/>
    <x v="0"/>
    <x v="7"/>
    <n v="8"/>
    <s v="Q3"/>
    <n v="0.12347907474261263"/>
  </r>
  <r>
    <x v="574"/>
    <x v="194"/>
    <s v="CUST1056"/>
    <s v="Customer 1187"/>
    <x v="3"/>
    <s v="Nagpur"/>
    <x v="9"/>
    <x v="0"/>
    <n v="2"/>
    <n v="6805.42"/>
    <n v="0.02"/>
    <x v="574"/>
    <n v="11212.35"/>
    <x v="574"/>
    <x v="0"/>
    <x v="3"/>
    <x v="2"/>
    <x v="7"/>
    <n v="8"/>
    <s v="Q3"/>
    <n v="0.15940704510661521"/>
  </r>
  <r>
    <x v="575"/>
    <x v="195"/>
    <s v="CUST1164"/>
    <s v="Customer 1161"/>
    <x v="2"/>
    <s v="Mumbai"/>
    <x v="6"/>
    <x v="2"/>
    <n v="1"/>
    <n v="1951.03"/>
    <n v="0.05"/>
    <x v="575"/>
    <n v="1650.23"/>
    <x v="575"/>
    <x v="1"/>
    <x v="3"/>
    <x v="0"/>
    <x v="7"/>
    <n v="8"/>
    <s v="Q3"/>
    <n v="0.10965858816928156"/>
  </r>
  <r>
    <x v="576"/>
    <x v="195"/>
    <s v="CUST1214"/>
    <s v="Customer 1062"/>
    <x v="0"/>
    <s v="Kolkata"/>
    <x v="4"/>
    <x v="1"/>
    <n v="2"/>
    <n v="15758.56"/>
    <n v="0.15"/>
    <x v="576"/>
    <n v="24425.03"/>
    <x v="576"/>
    <x v="0"/>
    <x v="3"/>
    <x v="0"/>
    <x v="7"/>
    <n v="8"/>
    <s v="Q3"/>
    <n v="8.8262774104081634E-2"/>
  </r>
  <r>
    <x v="577"/>
    <x v="195"/>
    <s v="CUST1255"/>
    <s v="Customer 1283"/>
    <x v="0"/>
    <s v="Patna"/>
    <x v="2"/>
    <x v="0"/>
    <n v="4"/>
    <n v="62658.54"/>
    <n v="0.05"/>
    <x v="577"/>
    <n v="204969.65"/>
    <x v="577"/>
    <x v="1"/>
    <x v="2"/>
    <x v="1"/>
    <x v="7"/>
    <n v="8"/>
    <s v="Q3"/>
    <n v="0.13915354503912078"/>
  </r>
  <r>
    <x v="578"/>
    <x v="195"/>
    <s v="CUST1253"/>
    <s v="Customer 1222"/>
    <x v="1"/>
    <s v="Bengaluru"/>
    <x v="8"/>
    <x v="0"/>
    <n v="2"/>
    <n v="29544.95"/>
    <n v="0.05"/>
    <x v="578"/>
    <n v="41323.1"/>
    <x v="578"/>
    <x v="1"/>
    <x v="0"/>
    <x v="2"/>
    <x v="7"/>
    <n v="8"/>
    <s v="Q3"/>
    <n v="0.26386736355312335"/>
  </r>
  <r>
    <x v="579"/>
    <x v="195"/>
    <s v="CUST1141"/>
    <s v="Customer 1104"/>
    <x v="2"/>
    <s v="Ahmedabad"/>
    <x v="6"/>
    <x v="2"/>
    <n v="3"/>
    <n v="1790.56"/>
    <n v="0.02"/>
    <x v="579"/>
    <n v="4653.45"/>
    <x v="579"/>
    <x v="0"/>
    <x v="2"/>
    <x v="0"/>
    <x v="7"/>
    <n v="8"/>
    <s v="Q3"/>
    <n v="0.1160279242057273"/>
  </r>
  <r>
    <x v="580"/>
    <x v="196"/>
    <s v="CUST1021"/>
    <s v="Customer 1092"/>
    <x v="4"/>
    <s v="Jaipur"/>
    <x v="5"/>
    <x v="3"/>
    <n v="3"/>
    <n v="204.55"/>
    <n v="0"/>
    <x v="580"/>
    <n v="523.09"/>
    <x v="580"/>
    <x v="1"/>
    <x v="4"/>
    <x v="1"/>
    <x v="7"/>
    <n v="8"/>
    <s v="Q3"/>
    <n v="0.14757597979304166"/>
  </r>
  <r>
    <x v="581"/>
    <x v="196"/>
    <s v="CUST1109"/>
    <s v="Customer 1279"/>
    <x v="2"/>
    <s v="Mumbai"/>
    <x v="2"/>
    <x v="0"/>
    <n v="1"/>
    <n v="62024.39"/>
    <n v="0.02"/>
    <x v="581"/>
    <n v="42278.43"/>
    <x v="581"/>
    <x v="0"/>
    <x v="1"/>
    <x v="1"/>
    <x v="7"/>
    <n v="8"/>
    <s v="Q3"/>
    <n v="0.30444690123536006"/>
  </r>
  <r>
    <x v="582"/>
    <x v="196"/>
    <s v="CUST1082"/>
    <s v="Customer 1092"/>
    <x v="0"/>
    <s v="Patna"/>
    <x v="0"/>
    <x v="0"/>
    <n v="1"/>
    <n v="11796.29"/>
    <n v="0.05"/>
    <x v="582"/>
    <n v="10057.02"/>
    <x v="582"/>
    <x v="1"/>
    <x v="4"/>
    <x v="2"/>
    <x v="7"/>
    <n v="8"/>
    <s v="Q3"/>
    <n v="0.10257101248563331"/>
  </r>
  <r>
    <x v="583"/>
    <x v="197"/>
    <s v="CUST1094"/>
    <s v="Customer 1103"/>
    <x v="2"/>
    <s v="Ahmedabad"/>
    <x v="3"/>
    <x v="2"/>
    <n v="2"/>
    <n v="938.75"/>
    <n v="0.02"/>
    <x v="583"/>
    <n v="1549.44"/>
    <x v="583"/>
    <x v="1"/>
    <x v="2"/>
    <x v="0"/>
    <x v="7"/>
    <n v="8"/>
    <s v="Q3"/>
    <n v="0.15789016005869724"/>
  </r>
  <r>
    <x v="584"/>
    <x v="197"/>
    <s v="CUST1106"/>
    <s v="Customer 1070"/>
    <x v="1"/>
    <s v="Hyderabad"/>
    <x v="2"/>
    <x v="0"/>
    <n v="1"/>
    <n v="58649.16"/>
    <n v="0.15"/>
    <x v="584"/>
    <n v="42891.76"/>
    <x v="584"/>
    <x v="1"/>
    <x v="2"/>
    <x v="2"/>
    <x v="7"/>
    <n v="8"/>
    <s v="Q3"/>
    <n v="0.13961444513827889"/>
  </r>
  <r>
    <x v="585"/>
    <x v="197"/>
    <s v="CUST1041"/>
    <s v="Customer 1255"/>
    <x v="0"/>
    <s v="Patna"/>
    <x v="7"/>
    <x v="4"/>
    <n v="2"/>
    <n v="3281.4"/>
    <n v="0.15"/>
    <x v="585"/>
    <n v="4833.6499999999996"/>
    <x v="585"/>
    <x v="0"/>
    <x v="1"/>
    <x v="1"/>
    <x v="7"/>
    <n v="8"/>
    <s v="Q3"/>
    <n v="0.13350291661736921"/>
  </r>
  <r>
    <x v="586"/>
    <x v="197"/>
    <s v="CUST1065"/>
    <s v="Customer 1232"/>
    <x v="1"/>
    <s v="Hyderabad"/>
    <x v="9"/>
    <x v="0"/>
    <n v="3"/>
    <n v="5887.31"/>
    <n v="0.1"/>
    <x v="586"/>
    <n v="12363.71"/>
    <x v="586"/>
    <x v="0"/>
    <x v="1"/>
    <x v="1"/>
    <x v="7"/>
    <n v="8"/>
    <s v="Q3"/>
    <n v="0.22219978434473642"/>
  </r>
  <r>
    <x v="587"/>
    <x v="198"/>
    <s v="CUST1213"/>
    <s v="Customer 1056"/>
    <x v="1"/>
    <s v="Chennai"/>
    <x v="9"/>
    <x v="0"/>
    <n v="1"/>
    <n v="6305.23"/>
    <n v="0"/>
    <x v="587"/>
    <n v="4254.79"/>
    <x v="587"/>
    <x v="0"/>
    <x v="2"/>
    <x v="1"/>
    <x v="7"/>
    <n v="8"/>
    <s v="Q3"/>
    <n v="0.32519670178566051"/>
  </r>
  <r>
    <x v="588"/>
    <x v="198"/>
    <s v="CUST1009"/>
    <s v="Customer 1289"/>
    <x v="2"/>
    <s v="Pune"/>
    <x v="5"/>
    <x v="3"/>
    <n v="1"/>
    <n v="351.55"/>
    <n v="0.1"/>
    <x v="588"/>
    <n v="284.54000000000002"/>
    <x v="588"/>
    <x v="0"/>
    <x v="0"/>
    <x v="0"/>
    <x v="7"/>
    <n v="8"/>
    <s v="Q3"/>
    <n v="0.10069532237673831"/>
  </r>
  <r>
    <x v="589"/>
    <x v="199"/>
    <s v="CUST1037"/>
    <s v="Customer 1278"/>
    <x v="0"/>
    <s v="Bhubaneswar"/>
    <x v="4"/>
    <x v="1"/>
    <n v="1"/>
    <n v="12036.47"/>
    <n v="0.1"/>
    <x v="589"/>
    <n v="9442.39"/>
    <x v="589"/>
    <x v="0"/>
    <x v="4"/>
    <x v="1"/>
    <x v="7"/>
    <n v="8"/>
    <s v="Q3"/>
    <n v="0.12835346659503252"/>
  </r>
  <r>
    <x v="590"/>
    <x v="199"/>
    <s v="CUST1023"/>
    <s v="Customer 1250"/>
    <x v="2"/>
    <s v="Pune"/>
    <x v="6"/>
    <x v="2"/>
    <n v="4"/>
    <n v="2178.1999999999998"/>
    <n v="0.1"/>
    <x v="590"/>
    <n v="5794.3"/>
    <x v="590"/>
    <x v="0"/>
    <x v="3"/>
    <x v="1"/>
    <x v="7"/>
    <n v="8"/>
    <s v="Q3"/>
    <n v="0.26107438353788548"/>
  </r>
  <r>
    <x v="591"/>
    <x v="199"/>
    <s v="CUST1152"/>
    <s v="Customer 1132"/>
    <x v="2"/>
    <s v="Mumbai"/>
    <x v="7"/>
    <x v="4"/>
    <n v="2"/>
    <n v="1919.79"/>
    <n v="0"/>
    <x v="591"/>
    <n v="3164.08"/>
    <x v="591"/>
    <x v="0"/>
    <x v="0"/>
    <x v="0"/>
    <x v="7"/>
    <n v="8"/>
    <s v="Q3"/>
    <n v="0.17593070075372827"/>
  </r>
  <r>
    <x v="592"/>
    <x v="199"/>
    <s v="CUST1251"/>
    <s v="Customer 1112"/>
    <x v="0"/>
    <s v="Patna"/>
    <x v="10"/>
    <x v="0"/>
    <n v="3"/>
    <n v="49530.720000000001"/>
    <n v="0.1"/>
    <x v="592"/>
    <n v="113798.39999999999"/>
    <x v="592"/>
    <x v="1"/>
    <x v="3"/>
    <x v="0"/>
    <x v="7"/>
    <n v="8"/>
    <s v="Q3"/>
    <n v="0.14906230282531738"/>
  </r>
  <r>
    <x v="593"/>
    <x v="200"/>
    <s v="CUST1080"/>
    <s v="Customer 1234"/>
    <x v="3"/>
    <s v="Bhopal"/>
    <x v="6"/>
    <x v="2"/>
    <n v="2"/>
    <n v="1967.36"/>
    <n v="0"/>
    <x v="593"/>
    <n v="3341.74"/>
    <x v="593"/>
    <x v="1"/>
    <x v="4"/>
    <x v="0"/>
    <x v="7"/>
    <n v="8"/>
    <s v="Q3"/>
    <n v="0.15070449739752767"/>
  </r>
  <r>
    <x v="594"/>
    <x v="200"/>
    <s v="CUST1190"/>
    <s v="Customer 1052"/>
    <x v="2"/>
    <s v="Pune"/>
    <x v="11"/>
    <x v="4"/>
    <n v="1"/>
    <n v="1592.47"/>
    <n v="0.1"/>
    <x v="594"/>
    <n v="1167.8699999999999"/>
    <x v="594"/>
    <x v="0"/>
    <x v="0"/>
    <x v="2"/>
    <x v="7"/>
    <n v="8"/>
    <s v="Q3"/>
    <n v="0.18514254615481227"/>
  </r>
  <r>
    <x v="595"/>
    <x v="201"/>
    <s v="CUST1272"/>
    <s v="Customer 1146"/>
    <x v="2"/>
    <s v="Mumbai"/>
    <x v="8"/>
    <x v="0"/>
    <n v="4"/>
    <n v="24412.01"/>
    <n v="0.1"/>
    <x v="595"/>
    <n v="70893.070000000007"/>
    <x v="595"/>
    <x v="1"/>
    <x v="4"/>
    <x v="1"/>
    <x v="7"/>
    <n v="8"/>
    <s v="Q3"/>
    <n v="0.19332662291467631"/>
  </r>
  <r>
    <x v="596"/>
    <x v="202"/>
    <s v="CUST1147"/>
    <s v="Customer 1063"/>
    <x v="3"/>
    <s v="Indore"/>
    <x v="0"/>
    <x v="0"/>
    <n v="2"/>
    <n v="6951.55"/>
    <n v="0"/>
    <x v="596"/>
    <n v="10934.11"/>
    <x v="596"/>
    <x v="0"/>
    <x v="1"/>
    <x v="2"/>
    <x v="7"/>
    <n v="8"/>
    <s v="Q3"/>
    <n v="0.2135487768914846"/>
  </r>
  <r>
    <x v="597"/>
    <x v="203"/>
    <s v="CUST1266"/>
    <s v="Customer 1099"/>
    <x v="1"/>
    <s v="Chennai"/>
    <x v="4"/>
    <x v="1"/>
    <n v="1"/>
    <n v="15464.53"/>
    <n v="0.05"/>
    <x v="597"/>
    <n v="12010.32"/>
    <x v="597"/>
    <x v="1"/>
    <x v="1"/>
    <x v="0"/>
    <x v="7"/>
    <n v="8"/>
    <s v="Q3"/>
    <n v="0.18248759469890344"/>
  </r>
  <r>
    <x v="598"/>
    <x v="203"/>
    <s v="CUST1170"/>
    <s v="Customer 1086"/>
    <x v="3"/>
    <s v="Indore"/>
    <x v="1"/>
    <x v="1"/>
    <n v="3"/>
    <n v="13142.65"/>
    <n v="0.15"/>
    <x v="598"/>
    <n v="33416.43"/>
    <x v="598"/>
    <x v="1"/>
    <x v="2"/>
    <x v="1"/>
    <x v="7"/>
    <n v="8"/>
    <s v="Q3"/>
    <n v="2.9041802531258802E-3"/>
  </r>
  <r>
    <x v="599"/>
    <x v="203"/>
    <s v="CUST1162"/>
    <s v="Customer 1281"/>
    <x v="2"/>
    <s v="Mumbai"/>
    <x v="3"/>
    <x v="2"/>
    <n v="1"/>
    <n v="1221.56"/>
    <n v="0.1"/>
    <x v="599"/>
    <n v="916.03"/>
    <x v="599"/>
    <x v="1"/>
    <x v="4"/>
    <x v="2"/>
    <x v="7"/>
    <n v="8"/>
    <s v="Q3"/>
    <n v="0.16679097689648897"/>
  </r>
  <r>
    <x v="600"/>
    <x v="203"/>
    <s v="CUST1236"/>
    <s v="Customer 1183"/>
    <x v="0"/>
    <s v="Bhubaneswar"/>
    <x v="10"/>
    <x v="0"/>
    <n v="1"/>
    <n v="52349.78"/>
    <n v="0.15"/>
    <x v="600"/>
    <n v="39934.879999999997"/>
    <x v="600"/>
    <x v="0"/>
    <x v="3"/>
    <x v="1"/>
    <x v="7"/>
    <n v="8"/>
    <s v="Q3"/>
    <n v="0.1025327148989456"/>
  </r>
  <r>
    <x v="601"/>
    <x v="203"/>
    <s v="CUST1124"/>
    <s v="Customer 1038"/>
    <x v="1"/>
    <s v="Chennai"/>
    <x v="0"/>
    <x v="0"/>
    <n v="1"/>
    <n v="11264.82"/>
    <n v="0.15"/>
    <x v="601"/>
    <n v="9137.52"/>
    <x v="601"/>
    <x v="0"/>
    <x v="1"/>
    <x v="0"/>
    <x v="7"/>
    <n v="8"/>
    <s v="Q3"/>
    <n v="4.5699783814268258E-2"/>
  </r>
  <r>
    <x v="602"/>
    <x v="204"/>
    <s v="CUST1177"/>
    <s v="Customer 1099"/>
    <x v="3"/>
    <s v="Nagpur"/>
    <x v="0"/>
    <x v="0"/>
    <n v="2"/>
    <n v="14767.55"/>
    <n v="0"/>
    <x v="602"/>
    <n v="22677.5"/>
    <x v="602"/>
    <x v="0"/>
    <x v="4"/>
    <x v="1"/>
    <x v="7"/>
    <n v="8"/>
    <s v="Q3"/>
    <n v="0.23218475644233474"/>
  </r>
  <r>
    <x v="603"/>
    <x v="204"/>
    <s v="CUST1029"/>
    <s v="Customer 1151"/>
    <x v="4"/>
    <s v="Jaipur"/>
    <x v="4"/>
    <x v="1"/>
    <n v="2"/>
    <n v="10432.49"/>
    <n v="0.1"/>
    <x v="603"/>
    <n v="14504.82"/>
    <x v="603"/>
    <x v="1"/>
    <x v="0"/>
    <x v="0"/>
    <x v="7"/>
    <n v="8"/>
    <s v="Q3"/>
    <n v="0.22758285015613616"/>
  </r>
  <r>
    <x v="604"/>
    <x v="204"/>
    <s v="CUST1262"/>
    <s v="Customer 1167"/>
    <x v="1"/>
    <s v="Bengaluru"/>
    <x v="1"/>
    <x v="1"/>
    <n v="2"/>
    <n v="9567.18"/>
    <n v="0"/>
    <x v="604"/>
    <n v="13807.15"/>
    <x v="604"/>
    <x v="0"/>
    <x v="0"/>
    <x v="2"/>
    <x v="7"/>
    <n v="8"/>
    <s v="Q3"/>
    <n v="0.27841067064694092"/>
  </r>
  <r>
    <x v="605"/>
    <x v="204"/>
    <s v="CUST1181"/>
    <s v="Customer 1046"/>
    <x v="1"/>
    <s v="Bengaluru"/>
    <x v="6"/>
    <x v="2"/>
    <n v="2"/>
    <n v="1514.48"/>
    <n v="0"/>
    <x v="605"/>
    <n v="2026.31"/>
    <x v="605"/>
    <x v="1"/>
    <x v="2"/>
    <x v="2"/>
    <x v="7"/>
    <n v="8"/>
    <s v="Q3"/>
    <n v="0.33102120859965134"/>
  </r>
  <r>
    <x v="606"/>
    <x v="205"/>
    <s v="CUST1281"/>
    <s v="Customer 1172"/>
    <x v="3"/>
    <s v="Indore"/>
    <x v="9"/>
    <x v="0"/>
    <n v="1"/>
    <n v="4173.96"/>
    <n v="0.02"/>
    <x v="606"/>
    <n v="3274.23"/>
    <x v="606"/>
    <x v="0"/>
    <x v="1"/>
    <x v="1"/>
    <x v="7"/>
    <n v="8"/>
    <s v="Q3"/>
    <n v="0.19954870822006218"/>
  </r>
  <r>
    <x v="607"/>
    <x v="205"/>
    <s v="CUST1079"/>
    <s v="Customer 1096"/>
    <x v="3"/>
    <s v="Indore"/>
    <x v="4"/>
    <x v="1"/>
    <n v="1"/>
    <n v="12748.39"/>
    <n v="0.02"/>
    <x v="607"/>
    <n v="9111.8700000000008"/>
    <x v="607"/>
    <x v="1"/>
    <x v="2"/>
    <x v="0"/>
    <x v="7"/>
    <n v="8"/>
    <s v="Q3"/>
    <n v="0.27066647883445849"/>
  </r>
  <r>
    <x v="608"/>
    <x v="205"/>
    <s v="CUST1216"/>
    <s v="Customer 1184"/>
    <x v="1"/>
    <s v="Chennai"/>
    <x v="7"/>
    <x v="4"/>
    <n v="1"/>
    <n v="3167.27"/>
    <n v="0.15"/>
    <x v="608"/>
    <n v="2054.81"/>
    <x v="608"/>
    <x v="1"/>
    <x v="3"/>
    <x v="0"/>
    <x v="7"/>
    <n v="8"/>
    <s v="Q3"/>
    <n v="0.23674865722202826"/>
  </r>
  <r>
    <x v="609"/>
    <x v="205"/>
    <s v="CUST1188"/>
    <s v="Customer 1070"/>
    <x v="1"/>
    <s v="Hyderabad"/>
    <x v="3"/>
    <x v="2"/>
    <n v="1"/>
    <n v="1192.83"/>
    <n v="0.1"/>
    <x v="609"/>
    <n v="812.28"/>
    <x v="609"/>
    <x v="0"/>
    <x v="2"/>
    <x v="2"/>
    <x v="7"/>
    <n v="8"/>
    <s v="Q3"/>
    <n v="0.24337012714824646"/>
  </r>
  <r>
    <x v="610"/>
    <x v="205"/>
    <s v="CUST1273"/>
    <s v="Customer 1288"/>
    <x v="0"/>
    <s v="Bhubaneswar"/>
    <x v="1"/>
    <x v="1"/>
    <n v="1"/>
    <n v="4984.13"/>
    <n v="0"/>
    <x v="610"/>
    <n v="3961.46"/>
    <x v="610"/>
    <x v="1"/>
    <x v="1"/>
    <x v="0"/>
    <x v="7"/>
    <n v="8"/>
    <s v="Q3"/>
    <n v="0.20518525800892029"/>
  </r>
  <r>
    <x v="611"/>
    <x v="206"/>
    <s v="CUST1108"/>
    <s v="Customer 1172"/>
    <x v="4"/>
    <s v="Delhi"/>
    <x v="3"/>
    <x v="2"/>
    <n v="1"/>
    <n v="1017.94"/>
    <n v="0.05"/>
    <x v="611"/>
    <n v="847.91"/>
    <x v="611"/>
    <x v="1"/>
    <x v="2"/>
    <x v="2"/>
    <x v="7"/>
    <n v="8"/>
    <s v="Q3"/>
    <n v="0.12319035407015222"/>
  </r>
  <r>
    <x v="612"/>
    <x v="206"/>
    <s v="CUST1280"/>
    <s v="Customer 1290"/>
    <x v="4"/>
    <s v="Jaipur"/>
    <x v="11"/>
    <x v="4"/>
    <n v="3"/>
    <n v="1005.26"/>
    <n v="0.05"/>
    <x v="612"/>
    <n v="1983.97"/>
    <x v="612"/>
    <x v="0"/>
    <x v="1"/>
    <x v="1"/>
    <x v="7"/>
    <n v="8"/>
    <s v="Q3"/>
    <n v="0.30751241714630767"/>
  </r>
  <r>
    <x v="613"/>
    <x v="206"/>
    <s v="CUST1077"/>
    <s v="Customer 1188"/>
    <x v="2"/>
    <s v="Ahmedabad"/>
    <x v="0"/>
    <x v="0"/>
    <n v="2"/>
    <n v="14221.61"/>
    <n v="0.15"/>
    <x v="613"/>
    <n v="24670.959999999999"/>
    <x v="613"/>
    <x v="0"/>
    <x v="4"/>
    <x v="2"/>
    <x v="7"/>
    <n v="8"/>
    <s v="Q3"/>
    <n v="-2.0441961984949169E-2"/>
  </r>
  <r>
    <x v="614"/>
    <x v="206"/>
    <s v="CUST1012"/>
    <s v="Customer 1118"/>
    <x v="0"/>
    <s v="Kolkata"/>
    <x v="10"/>
    <x v="0"/>
    <n v="2"/>
    <n v="39483.870000000003"/>
    <n v="0"/>
    <x v="614"/>
    <n v="67337.13"/>
    <x v="614"/>
    <x v="0"/>
    <x v="1"/>
    <x v="2"/>
    <x v="7"/>
    <n v="8"/>
    <s v="Q3"/>
    <n v="0.14728305508046705"/>
  </r>
  <r>
    <x v="615"/>
    <x v="207"/>
    <s v="CUST1108"/>
    <s v="Customer 1217"/>
    <x v="4"/>
    <s v="Delhi"/>
    <x v="6"/>
    <x v="2"/>
    <n v="1"/>
    <n v="3339.74"/>
    <n v="0.1"/>
    <x v="615"/>
    <n v="2669.53"/>
    <x v="615"/>
    <x v="1"/>
    <x v="4"/>
    <x v="1"/>
    <x v="7"/>
    <n v="8"/>
    <s v="Q3"/>
    <n v="0.11186484661168353"/>
  </r>
  <r>
    <x v="616"/>
    <x v="208"/>
    <s v="CUST1178"/>
    <s v="Customer 1063"/>
    <x v="4"/>
    <s v="Delhi"/>
    <x v="4"/>
    <x v="1"/>
    <n v="2"/>
    <n v="7870.43"/>
    <n v="0.1"/>
    <x v="616"/>
    <n v="12442.96"/>
    <x v="616"/>
    <x v="1"/>
    <x v="4"/>
    <x v="2"/>
    <x v="7"/>
    <n v="8"/>
    <s v="Q3"/>
    <n v="0.12167981833544272"/>
  </r>
  <r>
    <x v="617"/>
    <x v="208"/>
    <s v="CUST1157"/>
    <s v="Customer 1134"/>
    <x v="3"/>
    <s v="Nagpur"/>
    <x v="11"/>
    <x v="4"/>
    <n v="2"/>
    <n v="2083.61"/>
    <n v="0.15"/>
    <x v="617"/>
    <n v="3167"/>
    <x v="617"/>
    <x v="1"/>
    <x v="3"/>
    <x v="0"/>
    <x v="7"/>
    <n v="8"/>
    <s v="Q3"/>
    <n v="0.10590772809657439"/>
  </r>
  <r>
    <x v="618"/>
    <x v="208"/>
    <s v="CUST1053"/>
    <s v="Customer 1295"/>
    <x v="3"/>
    <s v="Indore"/>
    <x v="5"/>
    <x v="3"/>
    <n v="1"/>
    <n v="356.29"/>
    <n v="0.05"/>
    <x v="618"/>
    <n v="222.94"/>
    <x v="618"/>
    <x v="1"/>
    <x v="0"/>
    <x v="0"/>
    <x v="7"/>
    <n v="8"/>
    <s v="Q3"/>
    <n v="0.34134956275112266"/>
  </r>
  <r>
    <x v="619"/>
    <x v="209"/>
    <s v="CUST1014"/>
    <s v="Customer 1143"/>
    <x v="2"/>
    <s v="Mumbai"/>
    <x v="8"/>
    <x v="0"/>
    <n v="2"/>
    <n v="20630.939999999999"/>
    <n v="0"/>
    <x v="619"/>
    <n v="31194.21"/>
    <x v="619"/>
    <x v="1"/>
    <x v="0"/>
    <x v="0"/>
    <x v="7"/>
    <n v="8"/>
    <s v="Q3"/>
    <n v="0.24399445686914897"/>
  </r>
  <r>
    <x v="620"/>
    <x v="209"/>
    <s v="CUST1193"/>
    <s v="Customer 1051"/>
    <x v="0"/>
    <s v="Patna"/>
    <x v="9"/>
    <x v="0"/>
    <n v="1"/>
    <n v="3409.48"/>
    <n v="0.15"/>
    <x v="620"/>
    <n v="2313.0300000000002"/>
    <x v="620"/>
    <x v="1"/>
    <x v="1"/>
    <x v="1"/>
    <x v="7"/>
    <n v="8"/>
    <s v="Q3"/>
    <n v="0.20186952651083828"/>
  </r>
  <r>
    <x v="621"/>
    <x v="210"/>
    <s v="CUST1195"/>
    <s v="Customer 1119"/>
    <x v="2"/>
    <s v="Mumbai"/>
    <x v="5"/>
    <x v="3"/>
    <n v="1"/>
    <n v="305.26"/>
    <n v="0.15"/>
    <x v="621"/>
    <n v="216.39"/>
    <x v="621"/>
    <x v="0"/>
    <x v="4"/>
    <x v="0"/>
    <x v="7"/>
    <n v="8"/>
    <s v="Q3"/>
    <n v="0.16603075500057807"/>
  </r>
  <r>
    <x v="622"/>
    <x v="210"/>
    <s v="CUST1008"/>
    <s v="Customer 1129"/>
    <x v="2"/>
    <s v="Pune"/>
    <x v="8"/>
    <x v="0"/>
    <n v="3"/>
    <n v="11640.57"/>
    <n v="0.15"/>
    <x v="622"/>
    <n v="22954.77"/>
    <x v="622"/>
    <x v="1"/>
    <x v="3"/>
    <x v="1"/>
    <x v="7"/>
    <n v="8"/>
    <s v="Q3"/>
    <n v="0.22668119777182236"/>
  </r>
  <r>
    <x v="623"/>
    <x v="210"/>
    <s v="CUST1036"/>
    <s v="Customer 1132"/>
    <x v="2"/>
    <s v="Pune"/>
    <x v="0"/>
    <x v="0"/>
    <n v="1"/>
    <n v="19203.09"/>
    <n v="0"/>
    <x v="623"/>
    <n v="16849.669999999998"/>
    <x v="623"/>
    <x v="0"/>
    <x v="2"/>
    <x v="0"/>
    <x v="7"/>
    <n v="8"/>
    <s v="Q3"/>
    <n v="0.12255423476117645"/>
  </r>
  <r>
    <x v="624"/>
    <x v="210"/>
    <s v="CUST1144"/>
    <s v="Customer 1188"/>
    <x v="3"/>
    <s v="Bhopal"/>
    <x v="9"/>
    <x v="0"/>
    <n v="1"/>
    <n v="4753.5200000000004"/>
    <n v="0"/>
    <x v="624"/>
    <n v="3565.91"/>
    <x v="624"/>
    <x v="0"/>
    <x v="2"/>
    <x v="1"/>
    <x v="7"/>
    <n v="8"/>
    <s v="Q3"/>
    <n v="0.24983801477641826"/>
  </r>
  <r>
    <x v="625"/>
    <x v="211"/>
    <s v="CUST1257"/>
    <s v="Customer 1116"/>
    <x v="1"/>
    <s v="Chennai"/>
    <x v="7"/>
    <x v="4"/>
    <n v="1"/>
    <n v="1358.67"/>
    <n v="0.1"/>
    <x v="625"/>
    <n v="1105.02"/>
    <x v="625"/>
    <x v="0"/>
    <x v="1"/>
    <x v="2"/>
    <x v="7"/>
    <n v="8"/>
    <s v="Q3"/>
    <n v="9.6319921491658494E-2"/>
  </r>
  <r>
    <x v="626"/>
    <x v="211"/>
    <s v="CUST1074"/>
    <s v="Customer 1187"/>
    <x v="0"/>
    <s v="Patna"/>
    <x v="6"/>
    <x v="2"/>
    <n v="2"/>
    <n v="1339.72"/>
    <n v="0.15"/>
    <x v="626"/>
    <n v="1967.94"/>
    <x v="626"/>
    <x v="0"/>
    <x v="0"/>
    <x v="2"/>
    <x v="7"/>
    <n v="8"/>
    <s v="Q3"/>
    <n v="0.1359285538656082"/>
  </r>
  <r>
    <x v="627"/>
    <x v="211"/>
    <s v="CUST1206"/>
    <s v="Customer 1150"/>
    <x v="2"/>
    <s v="Pune"/>
    <x v="8"/>
    <x v="0"/>
    <n v="1"/>
    <n v="26586.44"/>
    <n v="0.1"/>
    <x v="627"/>
    <n v="18702.48"/>
    <x v="627"/>
    <x v="1"/>
    <x v="4"/>
    <x v="0"/>
    <x v="7"/>
    <n v="8"/>
    <s v="Q3"/>
    <n v="0.21837862235558639"/>
  </r>
  <r>
    <x v="628"/>
    <x v="211"/>
    <s v="CUST1267"/>
    <s v="Customer 1287"/>
    <x v="2"/>
    <s v="Pune"/>
    <x v="6"/>
    <x v="2"/>
    <n v="3"/>
    <n v="2272.98"/>
    <n v="0.15"/>
    <x v="628"/>
    <n v="4422.8999999999996"/>
    <x v="628"/>
    <x v="1"/>
    <x v="4"/>
    <x v="1"/>
    <x v="7"/>
    <n v="8"/>
    <s v="Q3"/>
    <n v="0.23691792757198804"/>
  </r>
  <r>
    <x v="629"/>
    <x v="212"/>
    <s v="CUST1083"/>
    <s v="Customer 1042"/>
    <x v="0"/>
    <s v="Kolkata"/>
    <x v="10"/>
    <x v="0"/>
    <n v="4"/>
    <n v="21216.05"/>
    <n v="0.02"/>
    <x v="629"/>
    <n v="64922.22"/>
    <x v="629"/>
    <x v="1"/>
    <x v="3"/>
    <x v="1"/>
    <x v="7"/>
    <n v="8"/>
    <s v="Q3"/>
    <n v="0.21937448206570595"/>
  </r>
  <r>
    <x v="630"/>
    <x v="212"/>
    <s v="CUST1162"/>
    <s v="Customer 1042"/>
    <x v="0"/>
    <s v="Patna"/>
    <x v="0"/>
    <x v="0"/>
    <n v="1"/>
    <n v="7007.54"/>
    <n v="0.02"/>
    <x v="630"/>
    <n v="5774.01"/>
    <x v="630"/>
    <x v="0"/>
    <x v="0"/>
    <x v="0"/>
    <x v="7"/>
    <n v="8"/>
    <s v="Q3"/>
    <n v="0.15921332558657658"/>
  </r>
  <r>
    <x v="631"/>
    <x v="212"/>
    <s v="CUST1173"/>
    <s v="Customer 1158"/>
    <x v="0"/>
    <s v="Patna"/>
    <x v="11"/>
    <x v="4"/>
    <n v="4"/>
    <n v="2011.03"/>
    <n v="0.02"/>
    <x v="631"/>
    <n v="6342.26"/>
    <x v="631"/>
    <x v="0"/>
    <x v="2"/>
    <x v="2"/>
    <x v="7"/>
    <n v="8"/>
    <s v="Q3"/>
    <n v="0.19547546440296124"/>
  </r>
  <r>
    <x v="632"/>
    <x v="212"/>
    <s v="CUST1239"/>
    <s v="Customer 1266"/>
    <x v="2"/>
    <s v="Mumbai"/>
    <x v="2"/>
    <x v="0"/>
    <n v="2"/>
    <n v="63038.62"/>
    <n v="0.1"/>
    <x v="632"/>
    <n v="98737.57"/>
    <x v="632"/>
    <x v="0"/>
    <x v="0"/>
    <x v="2"/>
    <x v="7"/>
    <n v="8"/>
    <s v="Q3"/>
    <n v="0.12983178213849852"/>
  </r>
  <r>
    <x v="633"/>
    <x v="213"/>
    <s v="CUST1248"/>
    <s v="Customer 1025"/>
    <x v="3"/>
    <s v="Indore"/>
    <x v="8"/>
    <x v="0"/>
    <n v="3"/>
    <n v="20475.63"/>
    <n v="0"/>
    <x v="633"/>
    <n v="40643.629999999997"/>
    <x v="633"/>
    <x v="0"/>
    <x v="2"/>
    <x v="0"/>
    <x v="7"/>
    <n v="8"/>
    <s v="Q3"/>
    <n v="0.33834140064717583"/>
  </r>
  <r>
    <x v="634"/>
    <x v="213"/>
    <s v="CUST1246"/>
    <s v="Customer 1081"/>
    <x v="1"/>
    <s v="Chennai"/>
    <x v="6"/>
    <x v="2"/>
    <n v="1"/>
    <n v="1846.14"/>
    <n v="0.15"/>
    <x v="634"/>
    <n v="1362.66"/>
    <x v="634"/>
    <x v="0"/>
    <x v="3"/>
    <x v="1"/>
    <x v="7"/>
    <n v="8"/>
    <s v="Q3"/>
    <n v="0.13163227590777585"/>
  </r>
  <r>
    <x v="635"/>
    <x v="214"/>
    <s v="CUST1298"/>
    <s v="Customer 1076"/>
    <x v="0"/>
    <s v="Kolkata"/>
    <x v="3"/>
    <x v="2"/>
    <n v="3"/>
    <n v="999.9"/>
    <n v="0"/>
    <x v="635"/>
    <n v="2473.9"/>
    <x v="635"/>
    <x v="0"/>
    <x v="3"/>
    <x v="2"/>
    <x v="7"/>
    <n v="8"/>
    <s v="Q3"/>
    <n v="0.17528419508617529"/>
  </r>
  <r>
    <x v="636"/>
    <x v="214"/>
    <s v="CUST1205"/>
    <s v="Customer 1048"/>
    <x v="3"/>
    <s v="Bhopal"/>
    <x v="10"/>
    <x v="0"/>
    <n v="3"/>
    <n v="33242.449999999997"/>
    <n v="0"/>
    <x v="636"/>
    <n v="78203.09"/>
    <x v="636"/>
    <x v="1"/>
    <x v="3"/>
    <x v="0"/>
    <x v="7"/>
    <n v="8"/>
    <s v="Q3"/>
    <n v="0.21583106339434466"/>
  </r>
  <r>
    <x v="637"/>
    <x v="214"/>
    <s v="CUST1169"/>
    <s v="Customer 1030"/>
    <x v="2"/>
    <s v="Ahmedabad"/>
    <x v="9"/>
    <x v="0"/>
    <n v="2"/>
    <n v="1552.93"/>
    <n v="0.1"/>
    <x v="637"/>
    <n v="2176.0300000000002"/>
    <x v="637"/>
    <x v="0"/>
    <x v="3"/>
    <x v="0"/>
    <x v="7"/>
    <n v="8"/>
    <s v="Q3"/>
    <n v="0.22153137264021008"/>
  </r>
  <r>
    <x v="638"/>
    <x v="214"/>
    <s v="CUST1058"/>
    <s v="Customer 1198"/>
    <x v="1"/>
    <s v="Chennai"/>
    <x v="2"/>
    <x v="0"/>
    <n v="3"/>
    <n v="65066.9"/>
    <n v="0"/>
    <x v="638"/>
    <n v="153786.71"/>
    <x v="638"/>
    <x v="1"/>
    <x v="2"/>
    <x v="1"/>
    <x v="7"/>
    <n v="8"/>
    <s v="Q3"/>
    <n v="0.21216107319287275"/>
  </r>
  <r>
    <x v="639"/>
    <x v="214"/>
    <s v="CUST1268"/>
    <s v="Customer 1298"/>
    <x v="3"/>
    <s v="Nagpur"/>
    <x v="5"/>
    <x v="3"/>
    <n v="2"/>
    <n v="314.11"/>
    <n v="0.02"/>
    <x v="639"/>
    <n v="481.43"/>
    <x v="639"/>
    <x v="1"/>
    <x v="2"/>
    <x v="0"/>
    <x v="7"/>
    <n v="8"/>
    <s v="Q3"/>
    <n v="0.21802618328298087"/>
  </r>
  <r>
    <x v="640"/>
    <x v="215"/>
    <s v="CUST1143"/>
    <s v="Customer 1049"/>
    <x v="0"/>
    <s v="Patna"/>
    <x v="8"/>
    <x v="0"/>
    <n v="2"/>
    <n v="19786.3"/>
    <n v="0.1"/>
    <x v="640"/>
    <n v="25723.56"/>
    <x v="640"/>
    <x v="1"/>
    <x v="2"/>
    <x v="2"/>
    <x v="7"/>
    <n v="8"/>
    <s v="Q3"/>
    <n v="0.27773931120691259"/>
  </r>
  <r>
    <x v="641"/>
    <x v="215"/>
    <s v="CUST1056"/>
    <s v="Customer 1079"/>
    <x v="0"/>
    <s v="Kolkata"/>
    <x v="8"/>
    <x v="0"/>
    <n v="1"/>
    <n v="27525.5"/>
    <n v="0.1"/>
    <x v="641"/>
    <n v="19914.189999999999"/>
    <x v="641"/>
    <x v="1"/>
    <x v="4"/>
    <x v="0"/>
    <x v="7"/>
    <n v="8"/>
    <s v="Q3"/>
    <n v="0.1961316678070234"/>
  </r>
  <r>
    <x v="642"/>
    <x v="215"/>
    <s v="CUST1144"/>
    <s v="Customer 1097"/>
    <x v="0"/>
    <s v="Patna"/>
    <x v="2"/>
    <x v="0"/>
    <n v="2"/>
    <n v="69564.33"/>
    <n v="0.1"/>
    <x v="642"/>
    <n v="121833.58"/>
    <x v="642"/>
    <x v="1"/>
    <x v="4"/>
    <x v="2"/>
    <x v="7"/>
    <n v="8"/>
    <s v="Q3"/>
    <n v="2.7011050283674291E-2"/>
  </r>
  <r>
    <x v="643"/>
    <x v="216"/>
    <s v="CUST1035"/>
    <s v="Customer 1014"/>
    <x v="1"/>
    <s v="Chennai"/>
    <x v="10"/>
    <x v="0"/>
    <n v="4"/>
    <n v="33268.79"/>
    <n v="0.05"/>
    <x v="643"/>
    <n v="82855.06"/>
    <x v="643"/>
    <x v="1"/>
    <x v="3"/>
    <x v="2"/>
    <x v="7"/>
    <n v="8"/>
    <s v="Q3"/>
    <n v="0.34461206726076438"/>
  </r>
  <r>
    <x v="644"/>
    <x v="217"/>
    <s v="CUST1232"/>
    <s v="Customer 1277"/>
    <x v="4"/>
    <s v="Delhi"/>
    <x v="0"/>
    <x v="0"/>
    <n v="2"/>
    <n v="17010.16"/>
    <n v="0.15"/>
    <x v="644"/>
    <n v="23563.68"/>
    <x v="644"/>
    <x v="0"/>
    <x v="1"/>
    <x v="2"/>
    <x v="7"/>
    <n v="8"/>
    <s v="Q3"/>
    <n v="0.18513469632506804"/>
  </r>
  <r>
    <x v="645"/>
    <x v="217"/>
    <s v="CUST1035"/>
    <s v="Customer 1215"/>
    <x v="1"/>
    <s v="Hyderabad"/>
    <x v="5"/>
    <x v="3"/>
    <n v="2"/>
    <n v="167.67"/>
    <n v="0.02"/>
    <x v="645"/>
    <n v="211.31"/>
    <x v="645"/>
    <x v="1"/>
    <x v="2"/>
    <x v="0"/>
    <x v="7"/>
    <n v="8"/>
    <s v="Q3"/>
    <n v="0.35699723092839969"/>
  </r>
  <r>
    <x v="646"/>
    <x v="217"/>
    <s v="CUST1172"/>
    <s v="Customer 1231"/>
    <x v="4"/>
    <s v="Lucknow"/>
    <x v="11"/>
    <x v="4"/>
    <n v="2"/>
    <n v="1722.96"/>
    <n v="0.15"/>
    <x v="646"/>
    <n v="2404.85"/>
    <x v="646"/>
    <x v="0"/>
    <x v="1"/>
    <x v="1"/>
    <x v="7"/>
    <n v="8"/>
    <s v="Q3"/>
    <n v="0.17896027012355623"/>
  </r>
  <r>
    <x v="647"/>
    <x v="217"/>
    <s v="CUST1124"/>
    <s v="Customer 1076"/>
    <x v="0"/>
    <s v="Bhubaneswar"/>
    <x v="5"/>
    <x v="3"/>
    <n v="1"/>
    <n v="232.15"/>
    <n v="0"/>
    <x v="647"/>
    <n v="148.96"/>
    <x v="647"/>
    <x v="1"/>
    <x v="3"/>
    <x v="2"/>
    <x v="7"/>
    <n v="8"/>
    <s v="Q3"/>
    <n v="0.35834589704932152"/>
  </r>
  <r>
    <x v="648"/>
    <x v="217"/>
    <s v="CUST1002"/>
    <s v="Customer 1225"/>
    <x v="4"/>
    <s v="Delhi"/>
    <x v="11"/>
    <x v="4"/>
    <n v="2"/>
    <n v="1550.86"/>
    <n v="0"/>
    <x v="648"/>
    <n v="2374.39"/>
    <x v="648"/>
    <x v="1"/>
    <x v="0"/>
    <x v="0"/>
    <x v="7"/>
    <n v="8"/>
    <s v="Q3"/>
    <n v="0.23449247514282401"/>
  </r>
  <r>
    <x v="649"/>
    <x v="218"/>
    <s v="CUST1241"/>
    <s v="Customer 1043"/>
    <x v="4"/>
    <s v="Delhi"/>
    <x v="9"/>
    <x v="0"/>
    <n v="2"/>
    <n v="5052.32"/>
    <n v="0.02"/>
    <x v="649"/>
    <n v="7059.93"/>
    <x v="649"/>
    <x v="1"/>
    <x v="2"/>
    <x v="1"/>
    <x v="7"/>
    <n v="8"/>
    <s v="Q3"/>
    <n v="0.287059393792508"/>
  </r>
  <r>
    <x v="650"/>
    <x v="218"/>
    <s v="CUST1264"/>
    <s v="Customer 1010"/>
    <x v="1"/>
    <s v="Chennai"/>
    <x v="10"/>
    <x v="0"/>
    <n v="3"/>
    <n v="34047.78"/>
    <n v="0.05"/>
    <x v="650"/>
    <n v="64274.63"/>
    <x v="650"/>
    <x v="1"/>
    <x v="3"/>
    <x v="2"/>
    <x v="7"/>
    <n v="8"/>
    <s v="Q3"/>
    <n v="0.33762194035481824"/>
  </r>
  <r>
    <x v="651"/>
    <x v="218"/>
    <s v="CUST1231"/>
    <s v="Customer 1206"/>
    <x v="0"/>
    <s v="Patna"/>
    <x v="3"/>
    <x v="2"/>
    <n v="2"/>
    <n v="398"/>
    <n v="0.1"/>
    <x v="651"/>
    <n v="560.95000000000005"/>
    <x v="651"/>
    <x v="0"/>
    <x v="4"/>
    <x v="0"/>
    <x v="7"/>
    <n v="8"/>
    <s v="Q3"/>
    <n v="0.21698771635957564"/>
  </r>
  <r>
    <x v="652"/>
    <x v="218"/>
    <s v="CUST1292"/>
    <s v="Customer 1282"/>
    <x v="3"/>
    <s v="Indore"/>
    <x v="8"/>
    <x v="0"/>
    <n v="1"/>
    <n v="24167.3"/>
    <n v="0.05"/>
    <x v="652"/>
    <n v="19012.38"/>
    <x v="652"/>
    <x v="1"/>
    <x v="1"/>
    <x v="0"/>
    <x v="7"/>
    <n v="8"/>
    <s v="Q3"/>
    <n v="0.1718960770384334"/>
  </r>
  <r>
    <x v="653"/>
    <x v="219"/>
    <s v="CUST1128"/>
    <s v="Customer 1093"/>
    <x v="2"/>
    <s v="Ahmedabad"/>
    <x v="3"/>
    <x v="2"/>
    <n v="4"/>
    <n v="346.31"/>
    <n v="0.1"/>
    <x v="653"/>
    <n v="972.28"/>
    <x v="653"/>
    <x v="0"/>
    <x v="3"/>
    <x v="2"/>
    <x v="8"/>
    <n v="9"/>
    <s v="Q3"/>
    <n v="0.22012962012320328"/>
  </r>
  <r>
    <x v="654"/>
    <x v="220"/>
    <s v="CUST1035"/>
    <s v="Customer 1069"/>
    <x v="0"/>
    <s v="Kolkata"/>
    <x v="11"/>
    <x v="4"/>
    <n v="1"/>
    <n v="964.22"/>
    <n v="0.05"/>
    <x v="654"/>
    <n v="672.71"/>
    <x v="654"/>
    <x v="1"/>
    <x v="3"/>
    <x v="0"/>
    <x v="8"/>
    <n v="9"/>
    <s v="Q3"/>
    <n v="0.26560845405617844"/>
  </r>
  <r>
    <x v="655"/>
    <x v="221"/>
    <s v="CUST1297"/>
    <s v="Customer 1172"/>
    <x v="0"/>
    <s v="Kolkata"/>
    <x v="4"/>
    <x v="1"/>
    <n v="4"/>
    <n v="17820.3"/>
    <n v="0"/>
    <x v="655"/>
    <n v="44537.79"/>
    <x v="655"/>
    <x v="0"/>
    <x v="4"/>
    <x v="2"/>
    <x v="8"/>
    <n v="9"/>
    <s v="Q3"/>
    <n v="0.37518181512095755"/>
  </r>
  <r>
    <x v="656"/>
    <x v="221"/>
    <s v="CUST1208"/>
    <s v="Customer 1237"/>
    <x v="2"/>
    <s v="Pune"/>
    <x v="1"/>
    <x v="1"/>
    <n v="1"/>
    <n v="7885.83"/>
    <n v="0.02"/>
    <x v="656"/>
    <n v="5404.01"/>
    <x v="656"/>
    <x v="0"/>
    <x v="0"/>
    <x v="1"/>
    <x v="8"/>
    <n v="9"/>
    <s v="Q3"/>
    <n v="0.30073329701569984"/>
  </r>
  <r>
    <x v="657"/>
    <x v="221"/>
    <s v="CUST1237"/>
    <s v="Customer 1104"/>
    <x v="4"/>
    <s v="Delhi"/>
    <x v="2"/>
    <x v="0"/>
    <n v="3"/>
    <n v="66956.800000000003"/>
    <n v="0.1"/>
    <x v="657"/>
    <n v="157180.03"/>
    <x v="657"/>
    <x v="1"/>
    <x v="1"/>
    <x v="0"/>
    <x v="8"/>
    <n v="9"/>
    <s v="Q3"/>
    <n v="0.13056140786408663"/>
  </r>
  <r>
    <x v="658"/>
    <x v="221"/>
    <s v="CUST1110"/>
    <s v="Customer 1254"/>
    <x v="1"/>
    <s v="Chennai"/>
    <x v="2"/>
    <x v="0"/>
    <n v="2"/>
    <n v="62865.23"/>
    <n v="0.05"/>
    <x v="658"/>
    <n v="106092.33"/>
    <x v="658"/>
    <x v="0"/>
    <x v="3"/>
    <x v="1"/>
    <x v="8"/>
    <n v="9"/>
    <s v="Q3"/>
    <n v="0.11178139301165049"/>
  </r>
  <r>
    <x v="659"/>
    <x v="222"/>
    <s v="CUST1008"/>
    <s v="Customer 1141"/>
    <x v="3"/>
    <s v="Indore"/>
    <x v="10"/>
    <x v="0"/>
    <n v="1"/>
    <n v="43837.51"/>
    <n v="0.15"/>
    <x v="659"/>
    <n v="38040.14"/>
    <x v="659"/>
    <x v="0"/>
    <x v="4"/>
    <x v="2"/>
    <x v="8"/>
    <n v="9"/>
    <s v="Q3"/>
    <n v="-2.0886224742283535E-2"/>
  </r>
  <r>
    <x v="660"/>
    <x v="222"/>
    <s v="CUST1269"/>
    <s v="Customer 1141"/>
    <x v="2"/>
    <s v="Pune"/>
    <x v="10"/>
    <x v="0"/>
    <n v="1"/>
    <n v="18902.830000000002"/>
    <n v="0.02"/>
    <x v="660"/>
    <n v="11824.29"/>
    <x v="660"/>
    <x v="0"/>
    <x v="1"/>
    <x v="2"/>
    <x v="8"/>
    <n v="9"/>
    <s v="Q3"/>
    <n v="0.361703816025786"/>
  </r>
  <r>
    <x v="661"/>
    <x v="223"/>
    <s v="CUST1054"/>
    <s v="Customer 1161"/>
    <x v="1"/>
    <s v="Chennai"/>
    <x v="2"/>
    <x v="0"/>
    <n v="2"/>
    <n v="73612.14"/>
    <n v="0.1"/>
    <x v="661"/>
    <n v="100092.67"/>
    <x v="661"/>
    <x v="0"/>
    <x v="1"/>
    <x v="1"/>
    <x v="8"/>
    <n v="9"/>
    <s v="Q3"/>
    <n v="0.2445941698172516"/>
  </r>
  <r>
    <x v="662"/>
    <x v="223"/>
    <s v="CUST1029"/>
    <s v="Customer 1280"/>
    <x v="2"/>
    <s v="Mumbai"/>
    <x v="8"/>
    <x v="0"/>
    <n v="4"/>
    <n v="23101.06"/>
    <n v="0.05"/>
    <x v="662"/>
    <n v="76156.789999999994"/>
    <x v="662"/>
    <x v="0"/>
    <x v="2"/>
    <x v="0"/>
    <x v="8"/>
    <n v="9"/>
    <s v="Q3"/>
    <n v="0.13245279352064379"/>
  </r>
  <r>
    <x v="663"/>
    <x v="223"/>
    <s v="CUST1116"/>
    <s v="Customer 1279"/>
    <x v="3"/>
    <s v="Bhopal"/>
    <x v="8"/>
    <x v="0"/>
    <n v="1"/>
    <n v="12183.5"/>
    <n v="0"/>
    <x v="663"/>
    <n v="9261.4699999999993"/>
    <x v="663"/>
    <x v="1"/>
    <x v="3"/>
    <x v="2"/>
    <x v="8"/>
    <n v="9"/>
    <s v="Q3"/>
    <n v="0.23983502277670621"/>
  </r>
  <r>
    <x v="664"/>
    <x v="223"/>
    <s v="CUST1247"/>
    <s v="Customer 1155"/>
    <x v="3"/>
    <s v="Indore"/>
    <x v="5"/>
    <x v="3"/>
    <n v="1"/>
    <n v="291.98"/>
    <n v="0.1"/>
    <x v="664"/>
    <n v="202.96"/>
    <x v="664"/>
    <x v="0"/>
    <x v="1"/>
    <x v="0"/>
    <x v="8"/>
    <n v="9"/>
    <s v="Q3"/>
    <n v="0.22764289519750364"/>
  </r>
  <r>
    <x v="665"/>
    <x v="224"/>
    <s v="CUST1083"/>
    <s v="Customer 1025"/>
    <x v="0"/>
    <s v="Kolkata"/>
    <x v="7"/>
    <x v="4"/>
    <n v="1"/>
    <n v="2710.31"/>
    <n v="0"/>
    <x v="665"/>
    <n v="2293.6"/>
    <x v="665"/>
    <x v="1"/>
    <x v="4"/>
    <x v="2"/>
    <x v="8"/>
    <n v="9"/>
    <s v="Q3"/>
    <n v="0.15374994004375883"/>
  </r>
  <r>
    <x v="666"/>
    <x v="225"/>
    <s v="CUST1083"/>
    <s v="Customer 1240"/>
    <x v="1"/>
    <s v="Bengaluru"/>
    <x v="4"/>
    <x v="1"/>
    <n v="2"/>
    <n v="11412.65"/>
    <n v="0.05"/>
    <x v="666"/>
    <n v="17125.88"/>
    <x v="666"/>
    <x v="0"/>
    <x v="1"/>
    <x v="2"/>
    <x v="8"/>
    <n v="9"/>
    <s v="Q3"/>
    <n v="0.21020769663203748"/>
  </r>
  <r>
    <x v="667"/>
    <x v="225"/>
    <s v="CUST1036"/>
    <s v="Customer 1239"/>
    <x v="0"/>
    <s v="Patna"/>
    <x v="1"/>
    <x v="1"/>
    <n v="1"/>
    <n v="10796.86"/>
    <n v="0.15"/>
    <x v="667"/>
    <n v="8052.04"/>
    <x v="667"/>
    <x v="0"/>
    <x v="1"/>
    <x v="2"/>
    <x v="8"/>
    <n v="9"/>
    <s v="Q3"/>
    <n v="0.12261627292469596"/>
  </r>
  <r>
    <x v="668"/>
    <x v="225"/>
    <s v="CUST1270"/>
    <s v="Customer 1117"/>
    <x v="1"/>
    <s v="Hyderabad"/>
    <x v="6"/>
    <x v="2"/>
    <n v="1"/>
    <n v="2429.4899999999998"/>
    <n v="0.02"/>
    <x v="668"/>
    <n v="1865.04"/>
    <x v="668"/>
    <x v="1"/>
    <x v="0"/>
    <x v="2"/>
    <x v="8"/>
    <n v="9"/>
    <s v="Q3"/>
    <n v="0.21666596665126633"/>
  </r>
  <r>
    <x v="669"/>
    <x v="226"/>
    <s v="CUST1118"/>
    <s v="Customer 1161"/>
    <x v="4"/>
    <s v="Lucknow"/>
    <x v="2"/>
    <x v="0"/>
    <n v="2"/>
    <n v="56772.01"/>
    <n v="0"/>
    <x v="669"/>
    <n v="88057.77"/>
    <x v="669"/>
    <x v="1"/>
    <x v="4"/>
    <x v="2"/>
    <x v="8"/>
    <n v="9"/>
    <s v="Q3"/>
    <n v="0.22446140272292631"/>
  </r>
  <r>
    <x v="670"/>
    <x v="226"/>
    <s v="CUST1233"/>
    <s v="Customer 1279"/>
    <x v="0"/>
    <s v="Kolkata"/>
    <x v="5"/>
    <x v="3"/>
    <n v="3"/>
    <n v="141.16"/>
    <n v="0"/>
    <x v="670"/>
    <n v="310.01"/>
    <x v="670"/>
    <x v="0"/>
    <x v="1"/>
    <x v="0"/>
    <x v="8"/>
    <n v="9"/>
    <s v="Q3"/>
    <n v="0.2679465382072353"/>
  </r>
  <r>
    <x v="671"/>
    <x v="226"/>
    <s v="CUST1208"/>
    <s v="Customer 1140"/>
    <x v="2"/>
    <s v="Pune"/>
    <x v="9"/>
    <x v="0"/>
    <n v="3"/>
    <n v="5859.19"/>
    <n v="0.05"/>
    <x v="671"/>
    <n v="11818.82"/>
    <x v="671"/>
    <x v="0"/>
    <x v="2"/>
    <x v="0"/>
    <x v="8"/>
    <n v="9"/>
    <s v="Q3"/>
    <n v="0.29223070791780675"/>
  </r>
  <r>
    <x v="672"/>
    <x v="226"/>
    <s v="CUST1164"/>
    <s v="Customer 1168"/>
    <x v="3"/>
    <s v="Bhopal"/>
    <x v="1"/>
    <x v="1"/>
    <n v="2"/>
    <n v="15510.83"/>
    <n v="0.05"/>
    <x v="672"/>
    <n v="25590.44"/>
    <x v="672"/>
    <x v="1"/>
    <x v="3"/>
    <x v="2"/>
    <x v="8"/>
    <n v="9"/>
    <s v="Q3"/>
    <n v="0.13166147391737792"/>
  </r>
  <r>
    <x v="673"/>
    <x v="227"/>
    <s v="CUST1014"/>
    <s v="Customer 1240"/>
    <x v="0"/>
    <s v="Kolkata"/>
    <x v="8"/>
    <x v="0"/>
    <n v="2"/>
    <n v="13148.67"/>
    <n v="0.1"/>
    <x v="673"/>
    <n v="16885.29"/>
    <x v="673"/>
    <x v="0"/>
    <x v="2"/>
    <x v="0"/>
    <x v="8"/>
    <n v="9"/>
    <s v="Q3"/>
    <n v="0.28656547915061975"/>
  </r>
  <r>
    <x v="674"/>
    <x v="228"/>
    <s v="CUST1024"/>
    <s v="Customer 1162"/>
    <x v="2"/>
    <s v="Mumbai"/>
    <x v="9"/>
    <x v="0"/>
    <n v="1"/>
    <n v="1641"/>
    <n v="0.1"/>
    <x v="674"/>
    <n v="1256.6300000000001"/>
    <x v="674"/>
    <x v="0"/>
    <x v="2"/>
    <x v="2"/>
    <x v="8"/>
    <n v="9"/>
    <s v="Q3"/>
    <n v="0.14914347620014895"/>
  </r>
  <r>
    <x v="675"/>
    <x v="228"/>
    <s v="CUST1043"/>
    <s v="Customer 1017"/>
    <x v="1"/>
    <s v="Chennai"/>
    <x v="3"/>
    <x v="2"/>
    <n v="4"/>
    <n v="942.44"/>
    <n v="0.1"/>
    <x v="675"/>
    <n v="2754.91"/>
    <x v="675"/>
    <x v="1"/>
    <x v="3"/>
    <x v="0"/>
    <x v="8"/>
    <n v="9"/>
    <s v="Q3"/>
    <n v="0.18800806418335406"/>
  </r>
  <r>
    <x v="676"/>
    <x v="228"/>
    <s v="CUST1095"/>
    <s v="Customer 1217"/>
    <x v="1"/>
    <s v="Chennai"/>
    <x v="10"/>
    <x v="0"/>
    <n v="3"/>
    <n v="25241.19"/>
    <n v="0.02"/>
    <x v="676"/>
    <n v="47332.98"/>
    <x v="676"/>
    <x v="1"/>
    <x v="4"/>
    <x v="0"/>
    <x v="8"/>
    <n v="9"/>
    <s v="Q3"/>
    <n v="0.36216744307638815"/>
  </r>
  <r>
    <x v="677"/>
    <x v="229"/>
    <s v="CUST1183"/>
    <s v="Customer 1016"/>
    <x v="2"/>
    <s v="Pune"/>
    <x v="0"/>
    <x v="0"/>
    <n v="3"/>
    <n v="11286.53"/>
    <n v="0"/>
    <x v="677"/>
    <n v="29699.85"/>
    <x v="677"/>
    <x v="1"/>
    <x v="0"/>
    <x v="1"/>
    <x v="8"/>
    <n v="9"/>
    <s v="Q3"/>
    <n v="0.12285263938517862"/>
  </r>
  <r>
    <x v="678"/>
    <x v="229"/>
    <s v="CUST1294"/>
    <s v="Customer 1170"/>
    <x v="1"/>
    <s v="Chennai"/>
    <x v="2"/>
    <x v="0"/>
    <n v="2"/>
    <n v="57572.480000000003"/>
    <n v="0"/>
    <x v="678"/>
    <n v="95799.71"/>
    <x v="678"/>
    <x v="1"/>
    <x v="0"/>
    <x v="0"/>
    <x v="8"/>
    <n v="9"/>
    <s v="Q3"/>
    <n v="0.16800778774859099"/>
  </r>
  <r>
    <x v="679"/>
    <x v="229"/>
    <s v="CUST1038"/>
    <s v="Customer 1148"/>
    <x v="3"/>
    <s v="Nagpur"/>
    <x v="6"/>
    <x v="2"/>
    <n v="2"/>
    <n v="934.53"/>
    <n v="0.15"/>
    <x v="679"/>
    <n v="1382.14"/>
    <x v="634"/>
    <x v="0"/>
    <x v="0"/>
    <x v="1"/>
    <x v="8"/>
    <n v="9"/>
    <s v="Q3"/>
    <n v="0.13001825391829797"/>
  </r>
  <r>
    <x v="680"/>
    <x v="229"/>
    <s v="CUST1020"/>
    <s v="Customer 1058"/>
    <x v="0"/>
    <s v="Patna"/>
    <x v="10"/>
    <x v="0"/>
    <n v="3"/>
    <n v="40053.61"/>
    <n v="0.15"/>
    <x v="680"/>
    <n v="92607.37"/>
    <x v="679"/>
    <x v="0"/>
    <x v="0"/>
    <x v="0"/>
    <x v="8"/>
    <n v="9"/>
    <s v="Q3"/>
    <n v="9.3299852717010356E-2"/>
  </r>
  <r>
    <x v="681"/>
    <x v="230"/>
    <s v="CUST1038"/>
    <s v="Customer 1176"/>
    <x v="3"/>
    <s v="Bhopal"/>
    <x v="10"/>
    <x v="0"/>
    <n v="1"/>
    <n v="49260.24"/>
    <n v="0"/>
    <x v="681"/>
    <n v="37927.56"/>
    <x v="680"/>
    <x v="1"/>
    <x v="4"/>
    <x v="2"/>
    <x v="8"/>
    <n v="9"/>
    <s v="Q3"/>
    <n v="0.23005734442219528"/>
  </r>
  <r>
    <x v="682"/>
    <x v="230"/>
    <s v="CUST1049"/>
    <s v="Customer 1159"/>
    <x v="2"/>
    <s v="Ahmedabad"/>
    <x v="6"/>
    <x v="2"/>
    <n v="1"/>
    <n v="1809.86"/>
    <n v="0.05"/>
    <x v="682"/>
    <n v="1513.32"/>
    <x v="681"/>
    <x v="0"/>
    <x v="2"/>
    <x v="0"/>
    <x v="8"/>
    <n v="9"/>
    <s v="Q3"/>
    <n v="0.11984040666057919"/>
  </r>
  <r>
    <x v="683"/>
    <x v="230"/>
    <s v="CUST1086"/>
    <s v="Customer 1150"/>
    <x v="1"/>
    <s v="Bengaluru"/>
    <x v="7"/>
    <x v="4"/>
    <n v="3"/>
    <n v="3441.67"/>
    <n v="0.1"/>
    <x v="683"/>
    <n v="6546.09"/>
    <x v="682"/>
    <x v="1"/>
    <x v="0"/>
    <x v="1"/>
    <x v="8"/>
    <n v="9"/>
    <s v="Q3"/>
    <n v="0.29555200909119278"/>
  </r>
  <r>
    <x v="684"/>
    <x v="230"/>
    <s v="CUST1073"/>
    <s v="Customer 1179"/>
    <x v="0"/>
    <s v="Patna"/>
    <x v="3"/>
    <x v="2"/>
    <n v="1"/>
    <n v="1363.31"/>
    <n v="0.15"/>
    <x v="684"/>
    <n v="1128.8499999999999"/>
    <x v="683"/>
    <x v="0"/>
    <x v="3"/>
    <x v="1"/>
    <x v="8"/>
    <n v="9"/>
    <s v="Q3"/>
    <n v="2.5854108956602034E-2"/>
  </r>
  <r>
    <x v="685"/>
    <x v="230"/>
    <s v="CUST1266"/>
    <s v="Customer 1025"/>
    <x v="3"/>
    <s v="Indore"/>
    <x v="10"/>
    <x v="0"/>
    <n v="1"/>
    <n v="23690.27"/>
    <n v="0.02"/>
    <x v="685"/>
    <n v="20584.57"/>
    <x v="684"/>
    <x v="0"/>
    <x v="0"/>
    <x v="0"/>
    <x v="8"/>
    <n v="9"/>
    <s v="Q3"/>
    <n v="0.11336310531407458"/>
  </r>
  <r>
    <x v="686"/>
    <x v="230"/>
    <s v="CUST1254"/>
    <s v="Customer 1216"/>
    <x v="2"/>
    <s v="Pune"/>
    <x v="8"/>
    <x v="0"/>
    <n v="2"/>
    <n v="17777.669999999998"/>
    <n v="0.02"/>
    <x v="686"/>
    <n v="29958.93"/>
    <x v="685"/>
    <x v="0"/>
    <x v="4"/>
    <x v="0"/>
    <x v="8"/>
    <n v="9"/>
    <s v="Q3"/>
    <n v="0.14020398786255284"/>
  </r>
  <r>
    <x v="687"/>
    <x v="231"/>
    <s v="CUST1165"/>
    <s v="Customer 1077"/>
    <x v="3"/>
    <s v="Bhopal"/>
    <x v="5"/>
    <x v="3"/>
    <n v="2"/>
    <n v="161.03"/>
    <n v="0.02"/>
    <x v="687"/>
    <n v="249.11"/>
    <x v="686"/>
    <x v="1"/>
    <x v="0"/>
    <x v="0"/>
    <x v="8"/>
    <n v="9"/>
    <s v="Q3"/>
    <n v="0.21072809074203158"/>
  </r>
  <r>
    <x v="688"/>
    <x v="231"/>
    <s v="CUST1072"/>
    <s v="Customer 1087"/>
    <x v="0"/>
    <s v="Bhubaneswar"/>
    <x v="5"/>
    <x v="3"/>
    <n v="1"/>
    <n v="384.17"/>
    <n v="0.05"/>
    <x v="688"/>
    <n v="312.45999999999998"/>
    <x v="687"/>
    <x v="0"/>
    <x v="0"/>
    <x v="1"/>
    <x v="8"/>
    <n v="9"/>
    <s v="Q3"/>
    <n v="0.14385138097325736"/>
  </r>
  <r>
    <x v="689"/>
    <x v="231"/>
    <s v="CUST1235"/>
    <s v="Customer 1289"/>
    <x v="2"/>
    <s v="Mumbai"/>
    <x v="11"/>
    <x v="4"/>
    <n v="2"/>
    <n v="831.4"/>
    <n v="0.05"/>
    <x v="689"/>
    <n v="1250.94"/>
    <x v="688"/>
    <x v="0"/>
    <x v="3"/>
    <x v="0"/>
    <x v="8"/>
    <n v="9"/>
    <s v="Q3"/>
    <n v="0.20809541293696113"/>
  </r>
  <r>
    <x v="690"/>
    <x v="232"/>
    <s v="CUST1016"/>
    <s v="Customer 1094"/>
    <x v="4"/>
    <s v="Delhi"/>
    <x v="2"/>
    <x v="0"/>
    <n v="2"/>
    <n v="57207.88"/>
    <n v="0.15"/>
    <x v="690"/>
    <n v="90018"/>
    <x v="689"/>
    <x v="0"/>
    <x v="3"/>
    <x v="2"/>
    <x v="8"/>
    <n v="9"/>
    <s v="Q3"/>
    <n v="7.4397398959830705E-2"/>
  </r>
  <r>
    <x v="691"/>
    <x v="232"/>
    <s v="CUST1127"/>
    <s v="Customer 1282"/>
    <x v="2"/>
    <s v="Pune"/>
    <x v="3"/>
    <x v="2"/>
    <n v="1"/>
    <n v="1192.1199999999999"/>
    <n v="0.15"/>
    <x v="691"/>
    <n v="1005.88"/>
    <x v="690"/>
    <x v="0"/>
    <x v="4"/>
    <x v="2"/>
    <x v="8"/>
    <n v="9"/>
    <s v="Q3"/>
    <n v="7.3226092963584333E-3"/>
  </r>
  <r>
    <x v="692"/>
    <x v="232"/>
    <s v="CUST1269"/>
    <s v="Customer 1181"/>
    <x v="1"/>
    <s v="Hyderabad"/>
    <x v="10"/>
    <x v="0"/>
    <n v="2"/>
    <n v="29921.97"/>
    <n v="0.1"/>
    <x v="692"/>
    <n v="44483.64"/>
    <x v="691"/>
    <x v="0"/>
    <x v="4"/>
    <x v="1"/>
    <x v="8"/>
    <n v="9"/>
    <s v="Q3"/>
    <n v="0.17408073405737701"/>
  </r>
  <r>
    <x v="693"/>
    <x v="232"/>
    <s v="CUST1204"/>
    <s v="Customer 1262"/>
    <x v="4"/>
    <s v="Jaipur"/>
    <x v="9"/>
    <x v="0"/>
    <n v="1"/>
    <n v="6990.45"/>
    <n v="0.15"/>
    <x v="693"/>
    <n v="6105.72"/>
    <x v="692"/>
    <x v="1"/>
    <x v="1"/>
    <x v="0"/>
    <x v="8"/>
    <n v="9"/>
    <s v="Q3"/>
    <n v="-2.7573764532437546E-2"/>
  </r>
  <r>
    <x v="694"/>
    <x v="232"/>
    <s v="CUST1291"/>
    <s v="Customer 1263"/>
    <x v="0"/>
    <s v="Bhubaneswar"/>
    <x v="0"/>
    <x v="0"/>
    <n v="2"/>
    <n v="12254.5"/>
    <n v="0"/>
    <x v="694"/>
    <n v="18361.150000000001"/>
    <x v="693"/>
    <x v="1"/>
    <x v="2"/>
    <x v="2"/>
    <x v="8"/>
    <n v="9"/>
    <s v="Q3"/>
    <n v="0.25084050756864829"/>
  </r>
  <r>
    <x v="695"/>
    <x v="232"/>
    <s v="CUST1178"/>
    <s v="Customer 1245"/>
    <x v="3"/>
    <s v="Nagpur"/>
    <x v="11"/>
    <x v="4"/>
    <n v="4"/>
    <n v="1671.54"/>
    <n v="0.1"/>
    <x v="695"/>
    <n v="4985.97"/>
    <x v="694"/>
    <x v="1"/>
    <x v="1"/>
    <x v="0"/>
    <x v="8"/>
    <n v="9"/>
    <s v="Q3"/>
    <n v="0.17142719450140753"/>
  </r>
  <r>
    <x v="696"/>
    <x v="233"/>
    <s v="CUST1090"/>
    <s v="Customer 1104"/>
    <x v="4"/>
    <s v="Jaipur"/>
    <x v="0"/>
    <x v="0"/>
    <n v="1"/>
    <n v="14757.19"/>
    <n v="0.15"/>
    <x v="696"/>
    <n v="10367.24"/>
    <x v="695"/>
    <x v="1"/>
    <x v="2"/>
    <x v="1"/>
    <x v="8"/>
    <n v="9"/>
    <s v="Q3"/>
    <n v="0.17350427827395781"/>
  </r>
  <r>
    <x v="697"/>
    <x v="233"/>
    <s v="CUST1046"/>
    <s v="Customer 1216"/>
    <x v="4"/>
    <s v="Delhi"/>
    <x v="3"/>
    <x v="2"/>
    <n v="2"/>
    <n v="1449.57"/>
    <n v="0.15"/>
    <x v="697"/>
    <n v="2234.5"/>
    <x v="696"/>
    <x v="0"/>
    <x v="4"/>
    <x v="0"/>
    <x v="8"/>
    <n v="9"/>
    <s v="Q3"/>
    <n v="9.3240594577704561E-2"/>
  </r>
  <r>
    <x v="698"/>
    <x v="234"/>
    <s v="CUST1188"/>
    <s v="Customer 1057"/>
    <x v="0"/>
    <s v="Bhubaneswar"/>
    <x v="7"/>
    <x v="4"/>
    <n v="3"/>
    <n v="2590.21"/>
    <n v="0.15"/>
    <x v="698"/>
    <n v="4876.53"/>
    <x v="697"/>
    <x v="1"/>
    <x v="4"/>
    <x v="0"/>
    <x v="8"/>
    <n v="9"/>
    <s v="Q3"/>
    <n v="0.26169561425820281"/>
  </r>
  <r>
    <x v="699"/>
    <x v="234"/>
    <s v="CUST1234"/>
    <s v="Customer 1003"/>
    <x v="3"/>
    <s v="Nagpur"/>
    <x v="7"/>
    <x v="4"/>
    <n v="1"/>
    <n v="2369.85"/>
    <n v="0.15"/>
    <x v="699"/>
    <n v="1604.44"/>
    <x v="698"/>
    <x v="1"/>
    <x v="4"/>
    <x v="0"/>
    <x v="8"/>
    <n v="9"/>
    <s v="Q3"/>
    <n v="0.20350283215099513"/>
  </r>
  <r>
    <x v="700"/>
    <x v="235"/>
    <s v="CUST1261"/>
    <s v="Customer 1008"/>
    <x v="2"/>
    <s v="Ahmedabad"/>
    <x v="8"/>
    <x v="0"/>
    <n v="4"/>
    <n v="25267.72"/>
    <n v="0.05"/>
    <x v="700"/>
    <n v="67530.59"/>
    <x v="699"/>
    <x v="0"/>
    <x v="2"/>
    <x v="1"/>
    <x v="8"/>
    <n v="9"/>
    <s v="Q3"/>
    <n v="0.29668339072921623"/>
  </r>
  <r>
    <x v="701"/>
    <x v="235"/>
    <s v="CUST1013"/>
    <s v="Customer 1048"/>
    <x v="4"/>
    <s v="Jaipur"/>
    <x v="11"/>
    <x v="4"/>
    <n v="1"/>
    <n v="1049.8499999999999"/>
    <n v="0"/>
    <x v="701"/>
    <n v="797.36"/>
    <x v="700"/>
    <x v="1"/>
    <x v="0"/>
    <x v="2"/>
    <x v="8"/>
    <n v="9"/>
    <s v="Q3"/>
    <n v="0.24050102395580325"/>
  </r>
  <r>
    <x v="702"/>
    <x v="236"/>
    <s v="CUST1125"/>
    <s v="Customer 1245"/>
    <x v="0"/>
    <s v="Bhubaneswar"/>
    <x v="11"/>
    <x v="4"/>
    <n v="1"/>
    <n v="2073.58"/>
    <n v="0.02"/>
    <x v="702"/>
    <n v="1498.81"/>
    <x v="701"/>
    <x v="0"/>
    <x v="2"/>
    <x v="0"/>
    <x v="8"/>
    <n v="9"/>
    <s v="Q3"/>
    <n v="0.26243658069691106"/>
  </r>
  <r>
    <x v="703"/>
    <x v="236"/>
    <s v="CUST1216"/>
    <s v="Customer 1147"/>
    <x v="1"/>
    <s v="Hyderabad"/>
    <x v="1"/>
    <x v="1"/>
    <n v="1"/>
    <n v="11945.34"/>
    <n v="0.15"/>
    <x v="703"/>
    <n v="8235.44"/>
    <x v="702"/>
    <x v="0"/>
    <x v="4"/>
    <x v="0"/>
    <x v="8"/>
    <n v="9"/>
    <s v="Q3"/>
    <n v="0.18890948378595049"/>
  </r>
  <r>
    <x v="704"/>
    <x v="236"/>
    <s v="CUST1073"/>
    <s v="Customer 1223"/>
    <x v="2"/>
    <s v="Mumbai"/>
    <x v="1"/>
    <x v="1"/>
    <n v="1"/>
    <n v="11637.16"/>
    <n v="0.05"/>
    <x v="704"/>
    <n v="7310.61"/>
    <x v="703"/>
    <x v="0"/>
    <x v="0"/>
    <x v="1"/>
    <x v="8"/>
    <n v="9"/>
    <s v="Q3"/>
    <n v="0.33872350818159619"/>
  </r>
  <r>
    <x v="705"/>
    <x v="237"/>
    <s v="CUST1145"/>
    <s v="Customer 1192"/>
    <x v="4"/>
    <s v="Lucknow"/>
    <x v="7"/>
    <x v="4"/>
    <n v="1"/>
    <n v="1067.22"/>
    <n v="0.02"/>
    <x v="705"/>
    <n v="809.7"/>
    <x v="704"/>
    <x v="0"/>
    <x v="2"/>
    <x v="1"/>
    <x v="8"/>
    <n v="9"/>
    <s v="Q3"/>
    <n v="0.22581940566795425"/>
  </r>
  <r>
    <x v="706"/>
    <x v="237"/>
    <s v="CUST1080"/>
    <s v="Customer 1252"/>
    <x v="4"/>
    <s v="Lucknow"/>
    <x v="9"/>
    <x v="0"/>
    <n v="2"/>
    <n v="2360.52"/>
    <n v="0"/>
    <x v="706"/>
    <n v="3887.78"/>
    <x v="705"/>
    <x v="1"/>
    <x v="4"/>
    <x v="2"/>
    <x v="8"/>
    <n v="9"/>
    <s v="Q3"/>
    <n v="0.17649924592886312"/>
  </r>
  <r>
    <x v="707"/>
    <x v="237"/>
    <s v="CUST1221"/>
    <s v="Customer 1053"/>
    <x v="2"/>
    <s v="Ahmedabad"/>
    <x v="11"/>
    <x v="4"/>
    <n v="4"/>
    <n v="775.8"/>
    <n v="0.05"/>
    <x v="707"/>
    <n v="2352.21"/>
    <x v="706"/>
    <x v="1"/>
    <x v="0"/>
    <x v="1"/>
    <x v="8"/>
    <n v="9"/>
    <s v="Q3"/>
    <n v="0.20211055480929704"/>
  </r>
  <r>
    <x v="708"/>
    <x v="237"/>
    <s v="CUST1046"/>
    <s v="Customer 1189"/>
    <x v="4"/>
    <s v="Lucknow"/>
    <x v="6"/>
    <x v="2"/>
    <n v="2"/>
    <n v="1844.46"/>
    <n v="0.1"/>
    <x v="708"/>
    <n v="3189.65"/>
    <x v="707"/>
    <x v="0"/>
    <x v="0"/>
    <x v="0"/>
    <x v="8"/>
    <n v="9"/>
    <s v="Q3"/>
    <n v="3.9270729481360102E-2"/>
  </r>
  <r>
    <x v="709"/>
    <x v="238"/>
    <s v="CUST1291"/>
    <s v="Customer 1096"/>
    <x v="3"/>
    <s v="Bhopal"/>
    <x v="0"/>
    <x v="0"/>
    <n v="1"/>
    <n v="18798.66"/>
    <n v="0.05"/>
    <x v="709"/>
    <n v="14845.56"/>
    <x v="708"/>
    <x v="0"/>
    <x v="1"/>
    <x v="0"/>
    <x v="8"/>
    <n v="9"/>
    <s v="Q3"/>
    <n v="0.16872252394207204"/>
  </r>
  <r>
    <x v="710"/>
    <x v="238"/>
    <s v="CUST1064"/>
    <s v="Customer 1135"/>
    <x v="2"/>
    <s v="Pune"/>
    <x v="10"/>
    <x v="0"/>
    <n v="4"/>
    <n v="30795.66"/>
    <n v="0"/>
    <x v="710"/>
    <n v="76643.92"/>
    <x v="709"/>
    <x v="1"/>
    <x v="1"/>
    <x v="0"/>
    <x v="8"/>
    <n v="9"/>
    <s v="Q3"/>
    <n v="0.37780258646835302"/>
  </r>
  <r>
    <x v="711"/>
    <x v="238"/>
    <s v="CUST1282"/>
    <s v="Customer 1113"/>
    <x v="4"/>
    <s v="Lucknow"/>
    <x v="1"/>
    <x v="1"/>
    <n v="3"/>
    <n v="10342.94"/>
    <n v="0.05"/>
    <x v="711"/>
    <n v="27287.78"/>
    <x v="710"/>
    <x v="0"/>
    <x v="1"/>
    <x v="0"/>
    <x v="8"/>
    <n v="9"/>
    <s v="Q3"/>
    <n v="7.428068573258545E-2"/>
  </r>
  <r>
    <x v="712"/>
    <x v="238"/>
    <s v="CUST1053"/>
    <s v="Customer 1060"/>
    <x v="1"/>
    <s v="Chennai"/>
    <x v="11"/>
    <x v="4"/>
    <n v="1"/>
    <n v="925.43"/>
    <n v="0.05"/>
    <x v="712"/>
    <n v="604.34"/>
    <x v="711"/>
    <x v="0"/>
    <x v="4"/>
    <x v="0"/>
    <x v="8"/>
    <n v="9"/>
    <s v="Q3"/>
    <n v="0.31259383957413894"/>
  </r>
  <r>
    <x v="713"/>
    <x v="239"/>
    <s v="CUST1135"/>
    <s v="Customer 1144"/>
    <x v="0"/>
    <s v="Patna"/>
    <x v="2"/>
    <x v="0"/>
    <n v="1"/>
    <n v="62961.74"/>
    <n v="0.02"/>
    <x v="713"/>
    <n v="44529.37"/>
    <x v="712"/>
    <x v="1"/>
    <x v="2"/>
    <x v="2"/>
    <x v="8"/>
    <n v="9"/>
    <s v="Q3"/>
    <n v="0.27832157881421676"/>
  </r>
  <r>
    <x v="714"/>
    <x v="239"/>
    <s v="CUST1030"/>
    <s v="Customer 1084"/>
    <x v="4"/>
    <s v="Delhi"/>
    <x v="0"/>
    <x v="0"/>
    <n v="2"/>
    <n v="10045.68"/>
    <n v="0.02"/>
    <x v="714"/>
    <n v="12655.76"/>
    <x v="713"/>
    <x v="0"/>
    <x v="4"/>
    <x v="0"/>
    <x v="8"/>
    <n v="9"/>
    <s v="Q3"/>
    <n v="0.35723402234588642"/>
  </r>
  <r>
    <x v="715"/>
    <x v="239"/>
    <s v="CUST1026"/>
    <s v="Customer 1026"/>
    <x v="4"/>
    <s v="Jaipur"/>
    <x v="1"/>
    <x v="1"/>
    <n v="1"/>
    <n v="9156.84"/>
    <n v="0.02"/>
    <x v="715"/>
    <n v="6670.15"/>
    <x v="714"/>
    <x v="0"/>
    <x v="2"/>
    <x v="2"/>
    <x v="8"/>
    <n v="9"/>
    <s v="Q3"/>
    <n v="0.25670013483847243"/>
  </r>
  <r>
    <x v="716"/>
    <x v="240"/>
    <s v="CUST1130"/>
    <s v="Customer 1267"/>
    <x v="3"/>
    <s v="Indore"/>
    <x v="10"/>
    <x v="0"/>
    <n v="1"/>
    <n v="42057.440000000002"/>
    <n v="0.05"/>
    <x v="716"/>
    <n v="32247.74"/>
    <x v="715"/>
    <x v="0"/>
    <x v="3"/>
    <x v="2"/>
    <x v="8"/>
    <n v="9"/>
    <s v="Q3"/>
    <n v="0.19288982461831025"/>
  </r>
  <r>
    <x v="717"/>
    <x v="240"/>
    <s v="CUST1271"/>
    <s v="Customer 1042"/>
    <x v="3"/>
    <s v="Indore"/>
    <x v="4"/>
    <x v="1"/>
    <n v="1"/>
    <n v="8672.48"/>
    <n v="0.02"/>
    <x v="717"/>
    <n v="7023.91"/>
    <x v="716"/>
    <x v="1"/>
    <x v="0"/>
    <x v="2"/>
    <x v="8"/>
    <n v="9"/>
    <s v="Q3"/>
    <n v="0.17356333605129054"/>
  </r>
  <r>
    <x v="718"/>
    <x v="241"/>
    <s v="CUST1296"/>
    <s v="Customer 1011"/>
    <x v="0"/>
    <s v="Kolkata"/>
    <x v="9"/>
    <x v="0"/>
    <n v="1"/>
    <n v="1814.29"/>
    <n v="0.02"/>
    <x v="718"/>
    <n v="1157.05"/>
    <x v="717"/>
    <x v="0"/>
    <x v="4"/>
    <x v="0"/>
    <x v="8"/>
    <n v="9"/>
    <s v="Q3"/>
    <n v="0.34924071991001127"/>
  </r>
  <r>
    <x v="719"/>
    <x v="241"/>
    <s v="CUST1069"/>
    <s v="Customer 1099"/>
    <x v="2"/>
    <s v="Ahmedabad"/>
    <x v="5"/>
    <x v="3"/>
    <n v="3"/>
    <n v="149.47"/>
    <n v="0.15"/>
    <x v="719"/>
    <n v="311.73"/>
    <x v="718"/>
    <x v="1"/>
    <x v="0"/>
    <x v="1"/>
    <x v="8"/>
    <n v="9"/>
    <s v="Q3"/>
    <n v="0.18213301849665486"/>
  </r>
  <r>
    <x v="720"/>
    <x v="241"/>
    <s v="CUST1268"/>
    <s v="Customer 1170"/>
    <x v="0"/>
    <s v="Bhubaneswar"/>
    <x v="2"/>
    <x v="0"/>
    <n v="2"/>
    <n v="71367.210000000006"/>
    <n v="0.02"/>
    <x v="720"/>
    <n v="118474.73"/>
    <x v="719"/>
    <x v="0"/>
    <x v="1"/>
    <x v="2"/>
    <x v="8"/>
    <n v="9"/>
    <s v="Q3"/>
    <n v="0.15302431596057556"/>
  </r>
  <r>
    <x v="721"/>
    <x v="241"/>
    <s v="CUST1029"/>
    <s v="Customer 1247"/>
    <x v="0"/>
    <s v="Patna"/>
    <x v="7"/>
    <x v="4"/>
    <n v="1"/>
    <n v="3210.05"/>
    <n v="0.05"/>
    <x v="721"/>
    <n v="2555.2399999999998"/>
    <x v="720"/>
    <x v="0"/>
    <x v="1"/>
    <x v="0"/>
    <x v="8"/>
    <n v="9"/>
    <s v="Q3"/>
    <n v="0.16209276778541096"/>
  </r>
  <r>
    <x v="722"/>
    <x v="241"/>
    <s v="CUST1154"/>
    <s v="Customer 1042"/>
    <x v="0"/>
    <s v="Kolkata"/>
    <x v="5"/>
    <x v="3"/>
    <n v="1"/>
    <n v="326.88"/>
    <n v="0.05"/>
    <x v="722"/>
    <n v="252.43"/>
    <x v="721"/>
    <x v="1"/>
    <x v="1"/>
    <x v="1"/>
    <x v="8"/>
    <n v="9"/>
    <s v="Q3"/>
    <n v="0.18712565208990789"/>
  </r>
  <r>
    <x v="723"/>
    <x v="242"/>
    <s v="CUST1131"/>
    <s v="Customer 1237"/>
    <x v="1"/>
    <s v="Chennai"/>
    <x v="4"/>
    <x v="1"/>
    <n v="1"/>
    <n v="8598.76"/>
    <n v="0.02"/>
    <x v="723"/>
    <n v="7370.98"/>
    <x v="722"/>
    <x v="0"/>
    <x v="3"/>
    <x v="2"/>
    <x v="8"/>
    <n v="9"/>
    <s v="Q3"/>
    <n v="0.12529103643384543"/>
  </r>
  <r>
    <x v="724"/>
    <x v="242"/>
    <s v="CUST1084"/>
    <s v="Customer 1016"/>
    <x v="0"/>
    <s v="Patna"/>
    <x v="10"/>
    <x v="0"/>
    <n v="1"/>
    <n v="26988.98"/>
    <n v="0.1"/>
    <x v="724"/>
    <n v="16782.96"/>
    <x v="723"/>
    <x v="0"/>
    <x v="1"/>
    <x v="0"/>
    <x v="8"/>
    <n v="9"/>
    <s v="Q3"/>
    <n v="0.30906114759605563"/>
  </r>
  <r>
    <x v="725"/>
    <x v="242"/>
    <s v="CUST1143"/>
    <s v="Customer 1059"/>
    <x v="3"/>
    <s v="Nagpur"/>
    <x v="4"/>
    <x v="1"/>
    <n v="3"/>
    <n v="14413.34"/>
    <n v="0"/>
    <x v="725"/>
    <n v="36964.79"/>
    <x v="724"/>
    <x v="0"/>
    <x v="0"/>
    <x v="0"/>
    <x v="8"/>
    <n v="9"/>
    <s v="Q3"/>
    <n v="0.14512551104277935"/>
  </r>
  <r>
    <x v="726"/>
    <x v="243"/>
    <s v="CUST1033"/>
    <s v="Customer 1010"/>
    <x v="4"/>
    <s v="Jaipur"/>
    <x v="5"/>
    <x v="3"/>
    <n v="1"/>
    <n v="92.06"/>
    <n v="0.1"/>
    <x v="726"/>
    <n v="70.06"/>
    <x v="725"/>
    <x v="0"/>
    <x v="4"/>
    <x v="2"/>
    <x v="8"/>
    <n v="9"/>
    <s v="Q3"/>
    <n v="0.15437537718768859"/>
  </r>
  <r>
    <x v="727"/>
    <x v="243"/>
    <s v="CUST1080"/>
    <s v="Customer 1093"/>
    <x v="4"/>
    <s v="Delhi"/>
    <x v="4"/>
    <x v="1"/>
    <n v="1"/>
    <n v="10899.26"/>
    <n v="0.02"/>
    <x v="727"/>
    <n v="6965.82"/>
    <x v="726"/>
    <x v="0"/>
    <x v="4"/>
    <x v="1"/>
    <x v="8"/>
    <n v="9"/>
    <s v="Q3"/>
    <n v="0.34784721292505477"/>
  </r>
  <r>
    <x v="728"/>
    <x v="243"/>
    <s v="CUST1221"/>
    <s v="Customer 1152"/>
    <x v="1"/>
    <s v="Chennai"/>
    <x v="2"/>
    <x v="0"/>
    <n v="1"/>
    <n v="63079.53"/>
    <n v="0.02"/>
    <x v="728"/>
    <n v="43762.93"/>
    <x v="727"/>
    <x v="1"/>
    <x v="1"/>
    <x v="1"/>
    <x v="8"/>
    <n v="9"/>
    <s v="Q3"/>
    <n v="0.29206748073455696"/>
  </r>
  <r>
    <x v="729"/>
    <x v="243"/>
    <s v="CUST1271"/>
    <s v="Customer 1215"/>
    <x v="1"/>
    <s v="Chennai"/>
    <x v="10"/>
    <x v="0"/>
    <n v="1"/>
    <n v="46679.91"/>
    <n v="0.02"/>
    <x v="729"/>
    <n v="39801.86"/>
    <x v="728"/>
    <x v="0"/>
    <x v="0"/>
    <x v="1"/>
    <x v="8"/>
    <n v="9"/>
    <s v="Q3"/>
    <n v="0.12994381404751554"/>
  </r>
  <r>
    <x v="730"/>
    <x v="244"/>
    <s v="CUST1109"/>
    <s v="Customer 1273"/>
    <x v="4"/>
    <s v="Lucknow"/>
    <x v="2"/>
    <x v="0"/>
    <n v="2"/>
    <n v="67846.39"/>
    <n v="0.1"/>
    <x v="730"/>
    <n v="100942.9"/>
    <x v="729"/>
    <x v="0"/>
    <x v="3"/>
    <x v="1"/>
    <x v="8"/>
    <n v="9"/>
    <s v="Q3"/>
    <n v="0.17343590709404821"/>
  </r>
  <r>
    <x v="731"/>
    <x v="244"/>
    <s v="CUST1166"/>
    <s v="Customer 1250"/>
    <x v="3"/>
    <s v="Indore"/>
    <x v="5"/>
    <x v="3"/>
    <n v="4"/>
    <n v="248.66"/>
    <n v="0.05"/>
    <x v="731"/>
    <n v="775.78"/>
    <x v="730"/>
    <x v="1"/>
    <x v="0"/>
    <x v="2"/>
    <x v="8"/>
    <n v="9"/>
    <s v="Q3"/>
    <n v="0.1789905916965637"/>
  </r>
  <r>
    <x v="732"/>
    <x v="245"/>
    <s v="CUST1144"/>
    <s v="Customer 1016"/>
    <x v="3"/>
    <s v="Bhopal"/>
    <x v="3"/>
    <x v="2"/>
    <n v="1"/>
    <n v="793.43"/>
    <n v="0.02"/>
    <x v="732"/>
    <n v="560.05999999999995"/>
    <x v="731"/>
    <x v="0"/>
    <x v="3"/>
    <x v="2"/>
    <x v="8"/>
    <n v="9"/>
    <s v="Q3"/>
    <n v="0.27972117907299759"/>
  </r>
  <r>
    <x v="733"/>
    <x v="245"/>
    <s v="CUST1108"/>
    <s v="Customer 1074"/>
    <x v="3"/>
    <s v="Bhopal"/>
    <x v="5"/>
    <x v="3"/>
    <n v="1"/>
    <n v="213.05"/>
    <n v="0.15"/>
    <x v="733"/>
    <n v="152.46"/>
    <x v="732"/>
    <x v="1"/>
    <x v="2"/>
    <x v="2"/>
    <x v="8"/>
    <n v="9"/>
    <s v="Q3"/>
    <n v="0.15809818322381136"/>
  </r>
  <r>
    <x v="734"/>
    <x v="245"/>
    <s v="CUST1104"/>
    <s v="Customer 1299"/>
    <x v="1"/>
    <s v="Hyderabad"/>
    <x v="11"/>
    <x v="4"/>
    <n v="4"/>
    <n v="1109.7"/>
    <n v="0.05"/>
    <x v="734"/>
    <n v="3092.85"/>
    <x v="733"/>
    <x v="0"/>
    <x v="3"/>
    <x v="1"/>
    <x v="8"/>
    <n v="9"/>
    <s v="Q3"/>
    <n v="0.2665514150339352"/>
  </r>
  <r>
    <x v="735"/>
    <x v="245"/>
    <s v="CUST1130"/>
    <s v="Customer 1132"/>
    <x v="3"/>
    <s v="Nagpur"/>
    <x v="11"/>
    <x v="4"/>
    <n v="1"/>
    <n v="832.71"/>
    <n v="0.02"/>
    <x v="735"/>
    <n v="662.11"/>
    <x v="734"/>
    <x v="1"/>
    <x v="2"/>
    <x v="1"/>
    <x v="8"/>
    <n v="9"/>
    <s v="Q3"/>
    <n v="0.18865034433742617"/>
  </r>
  <r>
    <x v="736"/>
    <x v="246"/>
    <s v="CUST1019"/>
    <s v="Customer 1154"/>
    <x v="2"/>
    <s v="Ahmedabad"/>
    <x v="6"/>
    <x v="2"/>
    <n v="2"/>
    <n v="2258.6"/>
    <n v="0.05"/>
    <x v="736"/>
    <n v="3339.7"/>
    <x v="735"/>
    <x v="0"/>
    <x v="4"/>
    <x v="2"/>
    <x v="9"/>
    <n v="10"/>
    <s v="Q4"/>
    <n v="0.22175823868535235"/>
  </r>
  <r>
    <x v="737"/>
    <x v="247"/>
    <s v="CUST1082"/>
    <s v="Customer 1181"/>
    <x v="0"/>
    <s v="Kolkata"/>
    <x v="10"/>
    <x v="0"/>
    <n v="1"/>
    <n v="45889.42"/>
    <n v="0.1"/>
    <x v="737"/>
    <n v="29965.19"/>
    <x v="736"/>
    <x v="1"/>
    <x v="1"/>
    <x v="2"/>
    <x v="9"/>
    <n v="10"/>
    <s v="Q4"/>
    <n v="0.27445903776420999"/>
  </r>
  <r>
    <x v="738"/>
    <x v="247"/>
    <s v="CUST1106"/>
    <s v="Customer 1021"/>
    <x v="3"/>
    <s v="Nagpur"/>
    <x v="7"/>
    <x v="4"/>
    <n v="4"/>
    <n v="2764.33"/>
    <n v="0.1"/>
    <x v="738"/>
    <n v="8850.16"/>
    <x v="737"/>
    <x v="0"/>
    <x v="3"/>
    <x v="2"/>
    <x v="9"/>
    <n v="10"/>
    <s v="Q4"/>
    <n v="0.11067879605168622"/>
  </r>
  <r>
    <x v="739"/>
    <x v="247"/>
    <s v="CUST1123"/>
    <s v="Customer 1134"/>
    <x v="0"/>
    <s v="Kolkata"/>
    <x v="4"/>
    <x v="1"/>
    <n v="2"/>
    <n v="13448.23"/>
    <n v="0.1"/>
    <x v="739"/>
    <n v="21843.19"/>
    <x v="738"/>
    <x v="1"/>
    <x v="0"/>
    <x v="0"/>
    <x v="9"/>
    <n v="10"/>
    <s v="Q4"/>
    <n v="9.7642770774009457E-2"/>
  </r>
  <r>
    <x v="740"/>
    <x v="247"/>
    <s v="CUST1157"/>
    <s v="Customer 1202"/>
    <x v="1"/>
    <s v="Bengaluru"/>
    <x v="4"/>
    <x v="1"/>
    <n v="1"/>
    <n v="6853.72"/>
    <n v="0"/>
    <x v="740"/>
    <n v="5936.2"/>
    <x v="739"/>
    <x v="0"/>
    <x v="2"/>
    <x v="2"/>
    <x v="9"/>
    <n v="10"/>
    <s v="Q4"/>
    <n v="0.13387182435232253"/>
  </r>
  <r>
    <x v="741"/>
    <x v="248"/>
    <s v="CUST1231"/>
    <s v="Customer 1119"/>
    <x v="4"/>
    <s v="Lucknow"/>
    <x v="4"/>
    <x v="1"/>
    <n v="4"/>
    <n v="13046.89"/>
    <n v="0.15"/>
    <x v="741"/>
    <n v="33202.9"/>
    <x v="740"/>
    <x v="0"/>
    <x v="0"/>
    <x v="0"/>
    <x v="9"/>
    <n v="10"/>
    <s v="Q4"/>
    <n v="0.25150300623790706"/>
  </r>
  <r>
    <x v="742"/>
    <x v="248"/>
    <s v="CUST1016"/>
    <s v="Customer 1173"/>
    <x v="1"/>
    <s v="Bengaluru"/>
    <x v="8"/>
    <x v="0"/>
    <n v="1"/>
    <n v="14325.93"/>
    <n v="0"/>
    <x v="742"/>
    <n v="12347.76"/>
    <x v="741"/>
    <x v="1"/>
    <x v="2"/>
    <x v="2"/>
    <x v="9"/>
    <n v="10"/>
    <s v="Q4"/>
    <n v="0.13808318203425538"/>
  </r>
  <r>
    <x v="743"/>
    <x v="248"/>
    <s v="CUST1112"/>
    <s v="Customer 1224"/>
    <x v="0"/>
    <s v="Bhubaneswar"/>
    <x v="7"/>
    <x v="4"/>
    <n v="4"/>
    <n v="2643.16"/>
    <n v="0.05"/>
    <x v="743"/>
    <n v="8786.98"/>
    <x v="742"/>
    <x v="0"/>
    <x v="1"/>
    <x v="2"/>
    <x v="9"/>
    <n v="10"/>
    <s v="Q4"/>
    <n v="0.12515220514515615"/>
  </r>
  <r>
    <x v="744"/>
    <x v="249"/>
    <s v="CUST1020"/>
    <s v="Customer 1154"/>
    <x v="2"/>
    <s v="Ahmedabad"/>
    <x v="6"/>
    <x v="2"/>
    <n v="1"/>
    <n v="3442.96"/>
    <n v="0"/>
    <x v="744"/>
    <n v="2314.89"/>
    <x v="743"/>
    <x v="1"/>
    <x v="4"/>
    <x v="1"/>
    <x v="9"/>
    <n v="10"/>
    <s v="Q4"/>
    <n v="0.32764539814578153"/>
  </r>
  <r>
    <x v="745"/>
    <x v="249"/>
    <s v="CUST1161"/>
    <s v="Customer 1022"/>
    <x v="3"/>
    <s v="Bhopal"/>
    <x v="1"/>
    <x v="1"/>
    <n v="3"/>
    <n v="13989.31"/>
    <n v="0.02"/>
    <x v="745"/>
    <n v="28004.13"/>
    <x v="744"/>
    <x v="1"/>
    <x v="4"/>
    <x v="0"/>
    <x v="9"/>
    <n v="10"/>
    <s v="Q4"/>
    <n v="0.31910761789189368"/>
  </r>
  <r>
    <x v="746"/>
    <x v="249"/>
    <s v="CUST1064"/>
    <s v="Customer 1292"/>
    <x v="2"/>
    <s v="Mumbai"/>
    <x v="5"/>
    <x v="3"/>
    <n v="1"/>
    <n v="205.04"/>
    <n v="0"/>
    <x v="746"/>
    <n v="140.88999999999999"/>
    <x v="745"/>
    <x v="0"/>
    <x v="3"/>
    <x v="0"/>
    <x v="9"/>
    <n v="10"/>
    <s v="Q4"/>
    <n v="0.31286578228638318"/>
  </r>
  <r>
    <x v="747"/>
    <x v="250"/>
    <s v="CUST1237"/>
    <s v="Customer 1221"/>
    <x v="1"/>
    <s v="Hyderabad"/>
    <x v="3"/>
    <x v="2"/>
    <n v="2"/>
    <n v="1202.1300000000001"/>
    <n v="0.02"/>
    <x v="747"/>
    <n v="2088.44"/>
    <x v="746"/>
    <x v="0"/>
    <x v="3"/>
    <x v="2"/>
    <x v="9"/>
    <n v="10"/>
    <s v="Q4"/>
    <n v="0.11362932216266229"/>
  </r>
  <r>
    <x v="748"/>
    <x v="250"/>
    <s v="CUST1017"/>
    <s v="Customer 1263"/>
    <x v="2"/>
    <s v="Mumbai"/>
    <x v="7"/>
    <x v="4"/>
    <n v="2"/>
    <n v="3085.64"/>
    <n v="0.02"/>
    <x v="748"/>
    <n v="4618.08"/>
    <x v="747"/>
    <x v="1"/>
    <x v="4"/>
    <x v="0"/>
    <x v="9"/>
    <n v="10"/>
    <s v="Q4"/>
    <n v="0.23640963317542596"/>
  </r>
  <r>
    <x v="749"/>
    <x v="250"/>
    <s v="CUST1210"/>
    <s v="Customer 1169"/>
    <x v="3"/>
    <s v="Bhopal"/>
    <x v="8"/>
    <x v="0"/>
    <n v="4"/>
    <n v="17335.91"/>
    <n v="0"/>
    <x v="749"/>
    <n v="59949.73"/>
    <x v="748"/>
    <x v="0"/>
    <x v="2"/>
    <x v="0"/>
    <x v="9"/>
    <n v="10"/>
    <s v="Q4"/>
    <n v="0.13546894855822394"/>
  </r>
  <r>
    <x v="750"/>
    <x v="250"/>
    <s v="CUST1114"/>
    <s v="Customer 1239"/>
    <x v="2"/>
    <s v="Mumbai"/>
    <x v="5"/>
    <x v="3"/>
    <n v="2"/>
    <n v="92.4"/>
    <n v="0"/>
    <x v="750"/>
    <n v="145.63"/>
    <x v="749"/>
    <x v="1"/>
    <x v="2"/>
    <x v="1"/>
    <x v="9"/>
    <n v="10"/>
    <s v="Q4"/>
    <n v="0.21195887445887446"/>
  </r>
  <r>
    <x v="751"/>
    <x v="250"/>
    <s v="CUST1018"/>
    <s v="Customer 1012"/>
    <x v="0"/>
    <s v="Bhubaneswar"/>
    <x v="5"/>
    <x v="3"/>
    <n v="3"/>
    <n v="287.51"/>
    <n v="0.15"/>
    <x v="751"/>
    <n v="736.02"/>
    <x v="750"/>
    <x v="0"/>
    <x v="1"/>
    <x v="1"/>
    <x v="9"/>
    <n v="10"/>
    <s v="Q4"/>
    <n v="-3.9146150173907119E-3"/>
  </r>
  <r>
    <x v="752"/>
    <x v="251"/>
    <s v="CUST1235"/>
    <s v="Customer 1018"/>
    <x v="4"/>
    <s v="Jaipur"/>
    <x v="7"/>
    <x v="4"/>
    <n v="2"/>
    <n v="1497.41"/>
    <n v="0.1"/>
    <x v="752"/>
    <n v="2377.92"/>
    <x v="751"/>
    <x v="0"/>
    <x v="3"/>
    <x v="1"/>
    <x v="9"/>
    <n v="10"/>
    <s v="Q4"/>
    <n v="0.11776621873307264"/>
  </r>
  <r>
    <x v="753"/>
    <x v="251"/>
    <s v="CUST1251"/>
    <s v="Customer 1009"/>
    <x v="2"/>
    <s v="Mumbai"/>
    <x v="9"/>
    <x v="0"/>
    <n v="1"/>
    <n v="1305.3900000000001"/>
    <n v="0.02"/>
    <x v="753"/>
    <n v="874.34"/>
    <x v="752"/>
    <x v="1"/>
    <x v="4"/>
    <x v="2"/>
    <x v="9"/>
    <n v="10"/>
    <s v="Q4"/>
    <n v="0.31653742730285789"/>
  </r>
  <r>
    <x v="754"/>
    <x v="251"/>
    <s v="CUST1132"/>
    <s v="Customer 1276"/>
    <x v="3"/>
    <s v="Bhopal"/>
    <x v="5"/>
    <x v="3"/>
    <n v="4"/>
    <n v="102"/>
    <n v="0.1"/>
    <x v="754"/>
    <n v="287.85000000000002"/>
    <x v="753"/>
    <x v="0"/>
    <x v="3"/>
    <x v="2"/>
    <x v="9"/>
    <n v="10"/>
    <s v="Q4"/>
    <n v="0.21609477124183005"/>
  </r>
  <r>
    <x v="755"/>
    <x v="252"/>
    <s v="CUST1283"/>
    <s v="Customer 1040"/>
    <x v="4"/>
    <s v="Lucknow"/>
    <x v="8"/>
    <x v="0"/>
    <n v="1"/>
    <n v="15200.08"/>
    <n v="0.15"/>
    <x v="755"/>
    <n v="11241.99"/>
    <x v="754"/>
    <x v="1"/>
    <x v="3"/>
    <x v="1"/>
    <x v="9"/>
    <n v="10"/>
    <s v="Q4"/>
    <n v="0.12988164924803039"/>
  </r>
  <r>
    <x v="756"/>
    <x v="253"/>
    <s v="CUST1223"/>
    <s v="Customer 1054"/>
    <x v="2"/>
    <s v="Ahmedabad"/>
    <x v="7"/>
    <x v="4"/>
    <n v="1"/>
    <n v="1315.46"/>
    <n v="0.05"/>
    <x v="756"/>
    <n v="873.56"/>
    <x v="755"/>
    <x v="0"/>
    <x v="1"/>
    <x v="1"/>
    <x v="9"/>
    <n v="10"/>
    <s v="Q4"/>
    <n v="0.30097864270339042"/>
  </r>
  <r>
    <x v="757"/>
    <x v="253"/>
    <s v="CUST1258"/>
    <s v="Customer 1275"/>
    <x v="0"/>
    <s v="Kolkata"/>
    <x v="7"/>
    <x v="4"/>
    <n v="2"/>
    <n v="2930.41"/>
    <n v="0.02"/>
    <x v="757"/>
    <n v="4899.6400000000003"/>
    <x v="756"/>
    <x v="0"/>
    <x v="4"/>
    <x v="1"/>
    <x v="9"/>
    <n v="10"/>
    <s v="Q4"/>
    <n v="0.14693920189428233"/>
  </r>
  <r>
    <x v="758"/>
    <x v="253"/>
    <s v="CUST1175"/>
    <s v="Customer 1183"/>
    <x v="2"/>
    <s v="Mumbai"/>
    <x v="11"/>
    <x v="4"/>
    <n v="1"/>
    <n v="2170.06"/>
    <n v="0.05"/>
    <x v="758"/>
    <n v="1421.11"/>
    <x v="757"/>
    <x v="0"/>
    <x v="0"/>
    <x v="2"/>
    <x v="9"/>
    <n v="10"/>
    <s v="Q4"/>
    <n v="0.31066279904538313"/>
  </r>
  <r>
    <x v="759"/>
    <x v="253"/>
    <s v="CUST1094"/>
    <s v="Customer 1201"/>
    <x v="3"/>
    <s v="Nagpur"/>
    <x v="3"/>
    <x v="2"/>
    <n v="1"/>
    <n v="1099.6600000000001"/>
    <n v="0.1"/>
    <x v="759"/>
    <n v="718.84"/>
    <x v="758"/>
    <x v="1"/>
    <x v="4"/>
    <x v="2"/>
    <x v="9"/>
    <n v="10"/>
    <s v="Q4"/>
    <n v="0.27367155371884128"/>
  </r>
  <r>
    <x v="760"/>
    <x v="254"/>
    <s v="CUST1175"/>
    <s v="Customer 1162"/>
    <x v="1"/>
    <s v="Hyderabad"/>
    <x v="2"/>
    <x v="0"/>
    <n v="2"/>
    <n v="55137.56"/>
    <n v="0"/>
    <x v="760"/>
    <n v="87394.81"/>
    <x v="759"/>
    <x v="1"/>
    <x v="2"/>
    <x v="2"/>
    <x v="9"/>
    <n v="10"/>
    <s v="Q4"/>
    <n v="0.20748388213043886"/>
  </r>
  <r>
    <x v="761"/>
    <x v="254"/>
    <s v="CUST1063"/>
    <s v="Customer 1217"/>
    <x v="4"/>
    <s v="Jaipur"/>
    <x v="2"/>
    <x v="0"/>
    <n v="4"/>
    <n v="64607.4"/>
    <n v="0"/>
    <x v="761"/>
    <n v="185540.08"/>
    <x v="760"/>
    <x v="0"/>
    <x v="1"/>
    <x v="2"/>
    <x v="9"/>
    <n v="10"/>
    <s v="Q4"/>
    <n v="0.28204787686859401"/>
  </r>
  <r>
    <x v="762"/>
    <x v="254"/>
    <s v="CUST1144"/>
    <s v="Customer 1025"/>
    <x v="4"/>
    <s v="Lucknow"/>
    <x v="0"/>
    <x v="0"/>
    <n v="1"/>
    <n v="16771.939999999999"/>
    <n v="0.15"/>
    <x v="762"/>
    <n v="13138.98"/>
    <x v="761"/>
    <x v="0"/>
    <x v="4"/>
    <x v="0"/>
    <x v="9"/>
    <n v="10"/>
    <s v="Q4"/>
    <n v="7.8364074452078589E-2"/>
  </r>
  <r>
    <x v="763"/>
    <x v="255"/>
    <s v="CUST1121"/>
    <s v="Customer 1116"/>
    <x v="0"/>
    <s v="Bhubaneswar"/>
    <x v="4"/>
    <x v="1"/>
    <n v="4"/>
    <n v="16649.189999999999"/>
    <n v="0"/>
    <x v="763"/>
    <n v="46002"/>
    <x v="762"/>
    <x v="1"/>
    <x v="0"/>
    <x v="2"/>
    <x v="9"/>
    <n v="10"/>
    <s v="Q4"/>
    <n v="0.30924567501482053"/>
  </r>
  <r>
    <x v="764"/>
    <x v="255"/>
    <s v="CUST1269"/>
    <s v="Customer 1241"/>
    <x v="3"/>
    <s v="Bhopal"/>
    <x v="9"/>
    <x v="0"/>
    <n v="4"/>
    <n v="2704.42"/>
    <n v="0.15"/>
    <x v="764"/>
    <n v="8328.35"/>
    <x v="763"/>
    <x v="1"/>
    <x v="3"/>
    <x v="2"/>
    <x v="9"/>
    <n v="10"/>
    <s v="Q4"/>
    <n v="9.4255266160088641E-2"/>
  </r>
  <r>
    <x v="765"/>
    <x v="255"/>
    <s v="CUST1054"/>
    <s v="Customer 1178"/>
    <x v="2"/>
    <s v="Mumbai"/>
    <x v="6"/>
    <x v="2"/>
    <n v="3"/>
    <n v="2822.46"/>
    <n v="0"/>
    <x v="765"/>
    <n v="6346.22"/>
    <x v="764"/>
    <x v="1"/>
    <x v="4"/>
    <x v="2"/>
    <x v="9"/>
    <n v="10"/>
    <s v="Q4"/>
    <n v="0.25050960273425782"/>
  </r>
  <r>
    <x v="766"/>
    <x v="255"/>
    <s v="CUST1227"/>
    <s v="Customer 1072"/>
    <x v="4"/>
    <s v="Lucknow"/>
    <x v="10"/>
    <x v="0"/>
    <n v="3"/>
    <n v="39487.269999999997"/>
    <n v="0.02"/>
    <x v="766"/>
    <n v="78705.75"/>
    <x v="765"/>
    <x v="1"/>
    <x v="2"/>
    <x v="0"/>
    <x v="9"/>
    <n v="10"/>
    <s v="Q4"/>
    <n v="0.32204317640655211"/>
  </r>
  <r>
    <x v="767"/>
    <x v="256"/>
    <s v="CUST1130"/>
    <s v="Customer 1043"/>
    <x v="3"/>
    <s v="Indore"/>
    <x v="1"/>
    <x v="1"/>
    <n v="2"/>
    <n v="13676.83"/>
    <n v="0"/>
    <x v="767"/>
    <n v="23943.759999999998"/>
    <x v="766"/>
    <x v="0"/>
    <x v="3"/>
    <x v="0"/>
    <x v="9"/>
    <n v="10"/>
    <s v="Q4"/>
    <n v="0.12465973474847608"/>
  </r>
  <r>
    <x v="768"/>
    <x v="256"/>
    <s v="CUST1146"/>
    <s v="Customer 1092"/>
    <x v="0"/>
    <s v="Bhubaneswar"/>
    <x v="7"/>
    <x v="4"/>
    <n v="1"/>
    <n v="3362.25"/>
    <n v="0.15"/>
    <x v="768"/>
    <n v="2164.27"/>
    <x v="767"/>
    <x v="1"/>
    <x v="1"/>
    <x v="2"/>
    <x v="9"/>
    <n v="10"/>
    <s v="Q4"/>
    <n v="0.24270883267842586"/>
  </r>
  <r>
    <x v="769"/>
    <x v="257"/>
    <s v="CUST1274"/>
    <s v="Customer 1020"/>
    <x v="2"/>
    <s v="Mumbai"/>
    <x v="2"/>
    <x v="0"/>
    <n v="1"/>
    <n v="57987.99"/>
    <n v="0.05"/>
    <x v="769"/>
    <n v="42896.7"/>
    <x v="768"/>
    <x v="1"/>
    <x v="2"/>
    <x v="0"/>
    <x v="9"/>
    <n v="10"/>
    <s v="Q4"/>
    <n v="0.221314250373807"/>
  </r>
  <r>
    <x v="770"/>
    <x v="257"/>
    <s v="CUST1196"/>
    <s v="Customer 1152"/>
    <x v="2"/>
    <s v="Mumbai"/>
    <x v="8"/>
    <x v="0"/>
    <n v="2"/>
    <n v="29526.59"/>
    <n v="0.1"/>
    <x v="770"/>
    <n v="49587.14"/>
    <x v="769"/>
    <x v="0"/>
    <x v="3"/>
    <x v="1"/>
    <x v="9"/>
    <n v="10"/>
    <s v="Q4"/>
    <n v="6.6996488663889756E-2"/>
  </r>
  <r>
    <x v="771"/>
    <x v="258"/>
    <s v="CUST1144"/>
    <s v="Customer 1019"/>
    <x v="4"/>
    <s v="Delhi"/>
    <x v="4"/>
    <x v="1"/>
    <n v="1"/>
    <n v="10548.26"/>
    <n v="0.15"/>
    <x v="771"/>
    <n v="8253.9500000000007"/>
    <x v="770"/>
    <x v="0"/>
    <x v="0"/>
    <x v="1"/>
    <x v="9"/>
    <n v="10"/>
    <s v="Q4"/>
    <n v="7.9418738749188603E-2"/>
  </r>
  <r>
    <x v="772"/>
    <x v="258"/>
    <s v="CUST1062"/>
    <s v="Customer 1003"/>
    <x v="0"/>
    <s v="Bhubaneswar"/>
    <x v="10"/>
    <x v="0"/>
    <n v="1"/>
    <n v="28053.55"/>
    <n v="0.02"/>
    <x v="772"/>
    <n v="20152.61"/>
    <x v="771"/>
    <x v="0"/>
    <x v="4"/>
    <x v="0"/>
    <x v="9"/>
    <n v="10"/>
    <s v="Q4"/>
    <n v="0.26697736981167214"/>
  </r>
  <r>
    <x v="773"/>
    <x v="259"/>
    <s v="CUST1273"/>
    <s v="Customer 1083"/>
    <x v="2"/>
    <s v="Ahmedabad"/>
    <x v="1"/>
    <x v="1"/>
    <n v="3"/>
    <n v="7459.02"/>
    <n v="0.05"/>
    <x v="773"/>
    <n v="13873.96"/>
    <x v="772"/>
    <x v="0"/>
    <x v="3"/>
    <x v="2"/>
    <x v="9"/>
    <n v="10"/>
    <s v="Q4"/>
    <n v="0.34735991412259076"/>
  </r>
  <r>
    <x v="774"/>
    <x v="259"/>
    <s v="CUST1130"/>
    <s v="Customer 1078"/>
    <x v="4"/>
    <s v="Lucknow"/>
    <x v="1"/>
    <x v="1"/>
    <n v="2"/>
    <n v="4749.37"/>
    <n v="0.15"/>
    <x v="774"/>
    <n v="6117.28"/>
    <x v="773"/>
    <x v="0"/>
    <x v="0"/>
    <x v="0"/>
    <x v="9"/>
    <n v="10"/>
    <s v="Q4"/>
    <n v="0.24234170967546165"/>
  </r>
  <r>
    <x v="775"/>
    <x v="259"/>
    <s v="CUST1255"/>
    <s v="Customer 1190"/>
    <x v="4"/>
    <s v="Jaipur"/>
    <x v="9"/>
    <x v="0"/>
    <n v="1"/>
    <n v="7584.49"/>
    <n v="0.1"/>
    <x v="775"/>
    <n v="5800.35"/>
    <x v="774"/>
    <x v="0"/>
    <x v="0"/>
    <x v="2"/>
    <x v="9"/>
    <n v="10"/>
    <s v="Q4"/>
    <n v="0.15026135211630756"/>
  </r>
  <r>
    <x v="776"/>
    <x v="259"/>
    <s v="CUST1081"/>
    <s v="Customer 1010"/>
    <x v="3"/>
    <s v="Bhopal"/>
    <x v="3"/>
    <x v="2"/>
    <n v="1"/>
    <n v="1053.44"/>
    <n v="0.15"/>
    <x v="776"/>
    <n v="771.8"/>
    <x v="775"/>
    <x v="0"/>
    <x v="3"/>
    <x v="0"/>
    <x v="9"/>
    <n v="10"/>
    <s v="Q4"/>
    <n v="0.13805811797815551"/>
  </r>
  <r>
    <x v="777"/>
    <x v="260"/>
    <s v="CUST1116"/>
    <s v="Customer 1037"/>
    <x v="2"/>
    <s v="Pune"/>
    <x v="1"/>
    <x v="1"/>
    <n v="3"/>
    <n v="15325.2"/>
    <n v="0.05"/>
    <x v="777"/>
    <n v="33002.550000000003"/>
    <x v="776"/>
    <x v="0"/>
    <x v="0"/>
    <x v="2"/>
    <x v="9"/>
    <n v="10"/>
    <s v="Q4"/>
    <n v="0.24439210546921686"/>
  </r>
  <r>
    <x v="778"/>
    <x v="260"/>
    <s v="CUST1161"/>
    <s v="Customer 1272"/>
    <x v="4"/>
    <s v="Jaipur"/>
    <x v="7"/>
    <x v="4"/>
    <n v="3"/>
    <n v="1050.9100000000001"/>
    <n v="0.02"/>
    <x v="778"/>
    <n v="2600.54"/>
    <x v="777"/>
    <x v="0"/>
    <x v="4"/>
    <x v="1"/>
    <x v="9"/>
    <n v="10"/>
    <s v="Q4"/>
    <n v="0.15831412961860128"/>
  </r>
  <r>
    <x v="779"/>
    <x v="260"/>
    <s v="CUST1045"/>
    <s v="Customer 1198"/>
    <x v="2"/>
    <s v="Ahmedabad"/>
    <x v="9"/>
    <x v="0"/>
    <n v="3"/>
    <n v="2810.33"/>
    <n v="0.02"/>
    <x v="779"/>
    <n v="6140.63"/>
    <x v="778"/>
    <x v="0"/>
    <x v="0"/>
    <x v="0"/>
    <x v="9"/>
    <n v="10"/>
    <s v="Q4"/>
    <n v="0.25679556834177114"/>
  </r>
  <r>
    <x v="780"/>
    <x v="260"/>
    <s v="CUST1130"/>
    <s v="Customer 1175"/>
    <x v="2"/>
    <s v="Mumbai"/>
    <x v="9"/>
    <x v="0"/>
    <n v="4"/>
    <n v="4269.43"/>
    <n v="0.15"/>
    <x v="780"/>
    <n v="13668.28"/>
    <x v="779"/>
    <x v="0"/>
    <x v="4"/>
    <x v="1"/>
    <x v="9"/>
    <n v="10"/>
    <s v="Q4"/>
    <n v="5.840289996045759E-2"/>
  </r>
  <r>
    <x v="781"/>
    <x v="261"/>
    <s v="CUST1150"/>
    <s v="Customer 1277"/>
    <x v="2"/>
    <s v="Pune"/>
    <x v="10"/>
    <x v="0"/>
    <n v="1"/>
    <n v="27041.07"/>
    <n v="0.15"/>
    <x v="781"/>
    <n v="19088.04"/>
    <x v="780"/>
    <x v="0"/>
    <x v="4"/>
    <x v="1"/>
    <x v="9"/>
    <n v="10"/>
    <s v="Q4"/>
    <n v="0.16954036365598124"/>
  </r>
  <r>
    <x v="782"/>
    <x v="261"/>
    <s v="CUST1019"/>
    <s v="Customer 1195"/>
    <x v="0"/>
    <s v="Bhubaneswar"/>
    <x v="5"/>
    <x v="3"/>
    <n v="1"/>
    <n v="263.01"/>
    <n v="0.15"/>
    <x v="782"/>
    <n v="191.43"/>
    <x v="781"/>
    <x v="0"/>
    <x v="2"/>
    <x v="0"/>
    <x v="9"/>
    <n v="10"/>
    <s v="Q4"/>
    <n v="0.14371980676328502"/>
  </r>
  <r>
    <x v="783"/>
    <x v="261"/>
    <s v="CUST1102"/>
    <s v="Customer 1267"/>
    <x v="1"/>
    <s v="Chennai"/>
    <x v="10"/>
    <x v="0"/>
    <n v="4"/>
    <n v="35757.74"/>
    <n v="0.05"/>
    <x v="783"/>
    <n v="114524.22"/>
    <x v="782"/>
    <x v="0"/>
    <x v="1"/>
    <x v="0"/>
    <x v="9"/>
    <n v="10"/>
    <s v="Q4"/>
    <n v="0.15716281075992306"/>
  </r>
  <r>
    <x v="784"/>
    <x v="262"/>
    <s v="CUST1180"/>
    <s v="Customer 1222"/>
    <x v="1"/>
    <s v="Chennai"/>
    <x v="11"/>
    <x v="4"/>
    <n v="1"/>
    <n v="1663.36"/>
    <n v="0.15"/>
    <x v="784"/>
    <n v="1320.09"/>
    <x v="783"/>
    <x v="0"/>
    <x v="2"/>
    <x v="0"/>
    <x v="9"/>
    <n v="10"/>
    <s v="Q4"/>
    <n v="6.6321983789059735E-2"/>
  </r>
  <r>
    <x v="785"/>
    <x v="262"/>
    <s v="CUST1102"/>
    <s v="Customer 1267"/>
    <x v="3"/>
    <s v="Indore"/>
    <x v="5"/>
    <x v="3"/>
    <n v="1"/>
    <n v="255.52"/>
    <n v="0"/>
    <x v="785"/>
    <n v="194.68"/>
    <x v="784"/>
    <x v="1"/>
    <x v="2"/>
    <x v="1"/>
    <x v="9"/>
    <n v="10"/>
    <s v="Q4"/>
    <n v="0.23810269254852851"/>
  </r>
  <r>
    <x v="786"/>
    <x v="263"/>
    <s v="CUST1288"/>
    <s v="Customer 1226"/>
    <x v="0"/>
    <s v="Bhubaneswar"/>
    <x v="8"/>
    <x v="0"/>
    <n v="4"/>
    <n v="19182.03"/>
    <n v="0.02"/>
    <x v="786"/>
    <n v="53969.42"/>
    <x v="785"/>
    <x v="0"/>
    <x v="2"/>
    <x v="1"/>
    <x v="9"/>
    <n v="10"/>
    <s v="Q4"/>
    <n v="0.28226007652783031"/>
  </r>
  <r>
    <x v="787"/>
    <x v="263"/>
    <s v="CUST1119"/>
    <s v="Customer 1017"/>
    <x v="2"/>
    <s v="Ahmedabad"/>
    <x v="8"/>
    <x v="0"/>
    <n v="4"/>
    <n v="22738.95"/>
    <n v="0.05"/>
    <x v="787"/>
    <n v="78717.759999999995"/>
    <x v="786"/>
    <x v="1"/>
    <x v="1"/>
    <x v="1"/>
    <x v="9"/>
    <n v="10"/>
    <s v="Q4"/>
    <n v="8.899927217395702E-2"/>
  </r>
  <r>
    <x v="788"/>
    <x v="263"/>
    <s v="CUST1281"/>
    <s v="Customer 1215"/>
    <x v="0"/>
    <s v="Bhubaneswar"/>
    <x v="5"/>
    <x v="3"/>
    <n v="4"/>
    <n v="385.46"/>
    <n v="0.02"/>
    <x v="788"/>
    <n v="974.78"/>
    <x v="787"/>
    <x v="0"/>
    <x v="2"/>
    <x v="0"/>
    <x v="9"/>
    <n v="10"/>
    <s v="Q4"/>
    <n v="0.35487756452680347"/>
  </r>
  <r>
    <x v="789"/>
    <x v="264"/>
    <s v="CUST1061"/>
    <s v="Customer 1198"/>
    <x v="4"/>
    <s v="Lucknow"/>
    <x v="2"/>
    <x v="0"/>
    <n v="2"/>
    <n v="62832.6"/>
    <n v="0.1"/>
    <x v="789"/>
    <n v="109161.35"/>
    <x v="788"/>
    <x v="1"/>
    <x v="1"/>
    <x v="1"/>
    <x v="9"/>
    <n v="10"/>
    <s v="Q4"/>
    <n v="3.4813226821038053E-2"/>
  </r>
  <r>
    <x v="790"/>
    <x v="264"/>
    <s v="CUST1207"/>
    <s v="Customer 1077"/>
    <x v="4"/>
    <s v="Jaipur"/>
    <x v="0"/>
    <x v="0"/>
    <n v="1"/>
    <n v="16739.54"/>
    <n v="0.15"/>
    <x v="790"/>
    <n v="13393.78"/>
    <x v="789"/>
    <x v="0"/>
    <x v="3"/>
    <x v="2"/>
    <x v="9"/>
    <n v="10"/>
    <s v="Q4"/>
    <n v="5.8672632112342665E-2"/>
  </r>
  <r>
    <x v="791"/>
    <x v="264"/>
    <s v="CUST1103"/>
    <s v="Customer 1024"/>
    <x v="3"/>
    <s v="Bhopal"/>
    <x v="6"/>
    <x v="2"/>
    <n v="4"/>
    <n v="2728.52"/>
    <n v="0.02"/>
    <x v="791"/>
    <n v="6926.25"/>
    <x v="790"/>
    <x v="0"/>
    <x v="4"/>
    <x v="0"/>
    <x v="9"/>
    <n v="10"/>
    <s v="Q4"/>
    <n v="0.35243273060453639"/>
  </r>
  <r>
    <x v="792"/>
    <x v="265"/>
    <s v="CUST1087"/>
    <s v="Customer 1149"/>
    <x v="0"/>
    <s v="Bhubaneswar"/>
    <x v="0"/>
    <x v="0"/>
    <n v="2"/>
    <n v="6504.21"/>
    <n v="0.05"/>
    <x v="792"/>
    <n v="10206.43"/>
    <x v="791"/>
    <x v="1"/>
    <x v="0"/>
    <x v="0"/>
    <x v="9"/>
    <n v="10"/>
    <s v="Q4"/>
    <n v="0.17410341479203756"/>
  </r>
  <r>
    <x v="793"/>
    <x v="265"/>
    <s v="CUST1210"/>
    <s v="Customer 1017"/>
    <x v="3"/>
    <s v="Bhopal"/>
    <x v="0"/>
    <x v="0"/>
    <n v="2"/>
    <n v="7828.28"/>
    <n v="0"/>
    <x v="793"/>
    <n v="13222.2"/>
    <x v="792"/>
    <x v="0"/>
    <x v="1"/>
    <x v="2"/>
    <x v="9"/>
    <n v="10"/>
    <s v="Q4"/>
    <n v="0.15548498520747853"/>
  </r>
  <r>
    <x v="794"/>
    <x v="265"/>
    <s v="CUST1254"/>
    <s v="Customer 1180"/>
    <x v="2"/>
    <s v="Ahmedabad"/>
    <x v="5"/>
    <x v="3"/>
    <n v="4"/>
    <n v="214.68"/>
    <n v="0.02"/>
    <x v="794"/>
    <n v="556.36"/>
    <x v="793"/>
    <x v="0"/>
    <x v="3"/>
    <x v="0"/>
    <x v="9"/>
    <n v="10"/>
    <s v="Q4"/>
    <n v="0.33888657833759134"/>
  </r>
  <r>
    <x v="795"/>
    <x v="265"/>
    <s v="CUST1227"/>
    <s v="Customer 1015"/>
    <x v="0"/>
    <s v="Patna"/>
    <x v="4"/>
    <x v="1"/>
    <n v="4"/>
    <n v="11651.81"/>
    <n v="0.1"/>
    <x v="795"/>
    <n v="30195.19"/>
    <x v="794"/>
    <x v="0"/>
    <x v="0"/>
    <x v="2"/>
    <x v="9"/>
    <n v="10"/>
    <s v="Q4"/>
    <n v="0.28015029613898845"/>
  </r>
  <r>
    <x v="796"/>
    <x v="265"/>
    <s v="CUST1209"/>
    <s v="Customer 1088"/>
    <x v="4"/>
    <s v="Lucknow"/>
    <x v="2"/>
    <x v="0"/>
    <n v="1"/>
    <n v="65222.58"/>
    <n v="0.02"/>
    <x v="796"/>
    <n v="45121.25"/>
    <x v="795"/>
    <x v="0"/>
    <x v="0"/>
    <x v="1"/>
    <x v="9"/>
    <n v="10"/>
    <s v="Q4"/>
    <n v="0.29407743937439973"/>
  </r>
  <r>
    <x v="797"/>
    <x v="265"/>
    <s v="CUST1246"/>
    <s v="Customer 1189"/>
    <x v="3"/>
    <s v="Bhopal"/>
    <x v="4"/>
    <x v="1"/>
    <n v="4"/>
    <n v="16614.259999999998"/>
    <n v="0"/>
    <x v="797"/>
    <n v="46868.82"/>
    <x v="796"/>
    <x v="0"/>
    <x v="4"/>
    <x v="1"/>
    <x v="9"/>
    <n v="10"/>
    <s v="Q4"/>
    <n v="0.29475011225296827"/>
  </r>
  <r>
    <x v="798"/>
    <x v="266"/>
    <s v="CUST1279"/>
    <s v="Customer 1180"/>
    <x v="3"/>
    <s v="Nagpur"/>
    <x v="9"/>
    <x v="0"/>
    <n v="2"/>
    <n v="3486.93"/>
    <n v="0.15"/>
    <x v="798"/>
    <n v="5195.3100000000004"/>
    <x v="797"/>
    <x v="0"/>
    <x v="1"/>
    <x v="0"/>
    <x v="9"/>
    <n v="10"/>
    <s v="Q4"/>
    <n v="0.12356565189666284"/>
  </r>
  <r>
    <x v="799"/>
    <x v="266"/>
    <s v="CUST1042"/>
    <s v="Customer 1285"/>
    <x v="0"/>
    <s v="Patna"/>
    <x v="9"/>
    <x v="0"/>
    <n v="2"/>
    <n v="3303.71"/>
    <n v="0"/>
    <x v="799"/>
    <n v="4124.3"/>
    <x v="798"/>
    <x v="1"/>
    <x v="1"/>
    <x v="1"/>
    <x v="9"/>
    <n v="10"/>
    <s v="Q4"/>
    <n v="0.37580780395373686"/>
  </r>
  <r>
    <x v="800"/>
    <x v="266"/>
    <s v="CUST1129"/>
    <s v="Customer 1280"/>
    <x v="3"/>
    <s v="Bhopal"/>
    <x v="7"/>
    <x v="4"/>
    <n v="1"/>
    <n v="2706.25"/>
    <n v="0.1"/>
    <x v="800"/>
    <n v="1712.95"/>
    <x v="799"/>
    <x v="1"/>
    <x v="4"/>
    <x v="1"/>
    <x v="9"/>
    <n v="10"/>
    <s v="Q4"/>
    <n v="0.29670884620753646"/>
  </r>
  <r>
    <x v="801"/>
    <x v="266"/>
    <s v="CUST1006"/>
    <s v="Customer 1021"/>
    <x v="1"/>
    <s v="Hyderabad"/>
    <x v="7"/>
    <x v="4"/>
    <n v="4"/>
    <n v="3288.83"/>
    <n v="0.02"/>
    <x v="801"/>
    <n v="11241.9"/>
    <x v="800"/>
    <x v="1"/>
    <x v="2"/>
    <x v="2"/>
    <x v="9"/>
    <n v="10"/>
    <s v="Q4"/>
    <n v="0.12800830889351011"/>
  </r>
  <r>
    <x v="802"/>
    <x v="267"/>
    <s v="CUST1209"/>
    <s v="Customer 1128"/>
    <x v="1"/>
    <s v="Hyderabad"/>
    <x v="1"/>
    <x v="1"/>
    <n v="1"/>
    <n v="5138.8999999999996"/>
    <n v="0.1"/>
    <x v="802"/>
    <n v="3228.53"/>
    <x v="801"/>
    <x v="0"/>
    <x v="4"/>
    <x v="2"/>
    <x v="9"/>
    <n v="10"/>
    <s v="Q4"/>
    <n v="0.30194096877628374"/>
  </r>
  <r>
    <x v="803"/>
    <x v="267"/>
    <s v="CUST1236"/>
    <s v="Customer 1056"/>
    <x v="1"/>
    <s v="Hyderabad"/>
    <x v="7"/>
    <x v="4"/>
    <n v="2"/>
    <n v="2230.6799999999998"/>
    <n v="0"/>
    <x v="803"/>
    <n v="3888.6"/>
    <x v="802"/>
    <x v="1"/>
    <x v="1"/>
    <x v="1"/>
    <x v="9"/>
    <n v="10"/>
    <s v="Q4"/>
    <n v="0.12838237667437732"/>
  </r>
  <r>
    <x v="804"/>
    <x v="267"/>
    <s v="CUST1171"/>
    <s v="Customer 1195"/>
    <x v="2"/>
    <s v="Mumbai"/>
    <x v="6"/>
    <x v="2"/>
    <n v="1"/>
    <n v="2957.81"/>
    <n v="0.1"/>
    <x v="804"/>
    <n v="1912.93"/>
    <x v="803"/>
    <x v="0"/>
    <x v="1"/>
    <x v="1"/>
    <x v="9"/>
    <n v="10"/>
    <s v="Q4"/>
    <n v="0.28140178735776833"/>
  </r>
  <r>
    <x v="805"/>
    <x v="267"/>
    <s v="CUST1276"/>
    <s v="Customer 1239"/>
    <x v="3"/>
    <s v="Indore"/>
    <x v="11"/>
    <x v="4"/>
    <n v="1"/>
    <n v="1560.38"/>
    <n v="0.1"/>
    <x v="805"/>
    <n v="1007.89"/>
    <x v="804"/>
    <x v="1"/>
    <x v="3"/>
    <x v="1"/>
    <x v="9"/>
    <n v="10"/>
    <s v="Q4"/>
    <n v="0.28230343079311276"/>
  </r>
  <r>
    <x v="806"/>
    <x v="267"/>
    <s v="CUST1220"/>
    <s v="Customer 1147"/>
    <x v="0"/>
    <s v="Kolkata"/>
    <x v="4"/>
    <x v="1"/>
    <n v="1"/>
    <n v="8539.7099999999991"/>
    <n v="0"/>
    <x v="806"/>
    <n v="6673.04"/>
    <x v="805"/>
    <x v="1"/>
    <x v="4"/>
    <x v="2"/>
    <x v="9"/>
    <n v="10"/>
    <s v="Q4"/>
    <n v="0.21858704803793105"/>
  </r>
  <r>
    <x v="807"/>
    <x v="268"/>
    <s v="CUST1214"/>
    <s v="Customer 1267"/>
    <x v="2"/>
    <s v="Ahmedabad"/>
    <x v="6"/>
    <x v="2"/>
    <n v="1"/>
    <n v="1079.2"/>
    <n v="0.15"/>
    <x v="807"/>
    <n v="698.35"/>
    <x v="806"/>
    <x v="1"/>
    <x v="0"/>
    <x v="1"/>
    <x v="9"/>
    <n v="10"/>
    <s v="Q4"/>
    <n v="0.23870623119522086"/>
  </r>
  <r>
    <x v="808"/>
    <x v="268"/>
    <s v="CUST1231"/>
    <s v="Customer 1010"/>
    <x v="2"/>
    <s v="Ahmedabad"/>
    <x v="10"/>
    <x v="0"/>
    <n v="4"/>
    <n v="48360.15"/>
    <n v="0.02"/>
    <x v="808"/>
    <n v="142904.23000000001"/>
    <x v="807"/>
    <x v="0"/>
    <x v="1"/>
    <x v="2"/>
    <x v="9"/>
    <n v="10"/>
    <s v="Q4"/>
    <n v="0.24617354723506063"/>
  </r>
  <r>
    <x v="809"/>
    <x v="268"/>
    <s v="CUST1164"/>
    <s v="Customer 1085"/>
    <x v="1"/>
    <s v="Hyderabad"/>
    <x v="9"/>
    <x v="0"/>
    <n v="1"/>
    <n v="4199.29"/>
    <n v="0.1"/>
    <x v="809"/>
    <n v="3174.94"/>
    <x v="808"/>
    <x v="0"/>
    <x v="0"/>
    <x v="2"/>
    <x v="9"/>
    <n v="10"/>
    <s v="Q4"/>
    <n v="0.15992654841031284"/>
  </r>
  <r>
    <x v="810"/>
    <x v="269"/>
    <s v="CUST1054"/>
    <s v="Customer 1272"/>
    <x v="3"/>
    <s v="Bhopal"/>
    <x v="4"/>
    <x v="1"/>
    <n v="3"/>
    <n v="6760.97"/>
    <n v="0.02"/>
    <x v="810"/>
    <n v="17461.16"/>
    <x v="809"/>
    <x v="1"/>
    <x v="1"/>
    <x v="1"/>
    <x v="9"/>
    <n v="10"/>
    <s v="Q4"/>
    <n v="0.12155051629375292"/>
  </r>
  <r>
    <x v="811"/>
    <x v="269"/>
    <s v="CUST1099"/>
    <s v="Customer 1263"/>
    <x v="1"/>
    <s v="Bengaluru"/>
    <x v="3"/>
    <x v="2"/>
    <n v="1"/>
    <n v="709.28"/>
    <n v="0.02"/>
    <x v="811"/>
    <n v="610.28"/>
    <x v="810"/>
    <x v="0"/>
    <x v="2"/>
    <x v="0"/>
    <x v="9"/>
    <n v="10"/>
    <s v="Q4"/>
    <n v="0.12201297673682544"/>
  </r>
  <r>
    <x v="812"/>
    <x v="269"/>
    <s v="CUST1204"/>
    <s v="Customer 1238"/>
    <x v="1"/>
    <s v="Chennai"/>
    <x v="1"/>
    <x v="1"/>
    <n v="1"/>
    <n v="8963.99"/>
    <n v="0"/>
    <x v="812"/>
    <n v="7173.74"/>
    <x v="811"/>
    <x v="0"/>
    <x v="1"/>
    <x v="2"/>
    <x v="9"/>
    <n v="10"/>
    <s v="Q4"/>
    <n v="0.19971575157937482"/>
  </r>
  <r>
    <x v="813"/>
    <x v="269"/>
    <s v="CUST1233"/>
    <s v="Customer 1271"/>
    <x v="1"/>
    <s v="Hyderabad"/>
    <x v="9"/>
    <x v="0"/>
    <n v="1"/>
    <n v="7091.71"/>
    <n v="0.15"/>
    <x v="813"/>
    <n v="4422.01"/>
    <x v="812"/>
    <x v="0"/>
    <x v="1"/>
    <x v="2"/>
    <x v="9"/>
    <n v="10"/>
    <s v="Q4"/>
    <n v="0.26641561393176788"/>
  </r>
  <r>
    <x v="814"/>
    <x v="270"/>
    <s v="CUST1082"/>
    <s v="Customer 1087"/>
    <x v="3"/>
    <s v="Nagpur"/>
    <x v="9"/>
    <x v="0"/>
    <n v="1"/>
    <n v="3190.05"/>
    <n v="0.02"/>
    <x v="814"/>
    <n v="2336.15"/>
    <x v="813"/>
    <x v="1"/>
    <x v="1"/>
    <x v="1"/>
    <x v="9"/>
    <n v="10"/>
    <s v="Q4"/>
    <n v="0.25273090763694522"/>
  </r>
  <r>
    <x v="815"/>
    <x v="270"/>
    <s v="CUST1218"/>
    <s v="Customer 1222"/>
    <x v="4"/>
    <s v="Lucknow"/>
    <x v="6"/>
    <x v="2"/>
    <n v="4"/>
    <n v="2722.63"/>
    <n v="0.15"/>
    <x v="815"/>
    <n v="7098.93"/>
    <x v="814"/>
    <x v="1"/>
    <x v="0"/>
    <x v="0"/>
    <x v="9"/>
    <n v="10"/>
    <s v="Q4"/>
    <n v="0.23312347276745882"/>
  </r>
  <r>
    <x v="816"/>
    <x v="271"/>
    <s v="CUST1243"/>
    <s v="Customer 1122"/>
    <x v="4"/>
    <s v="Jaipur"/>
    <x v="3"/>
    <x v="2"/>
    <n v="2"/>
    <n v="1169.79"/>
    <n v="0.1"/>
    <x v="816"/>
    <n v="1547.59"/>
    <x v="815"/>
    <x v="1"/>
    <x v="4"/>
    <x v="0"/>
    <x v="9"/>
    <n v="10"/>
    <s v="Q4"/>
    <n v="0.26501932922369659"/>
  </r>
  <r>
    <x v="817"/>
    <x v="271"/>
    <s v="CUST1148"/>
    <s v="Customer 1280"/>
    <x v="2"/>
    <s v="Pune"/>
    <x v="0"/>
    <x v="0"/>
    <n v="2"/>
    <n v="10274.31"/>
    <n v="0.1"/>
    <x v="817"/>
    <n v="17377.55"/>
    <x v="816"/>
    <x v="1"/>
    <x v="1"/>
    <x v="1"/>
    <x v="9"/>
    <n v="10"/>
    <s v="Q4"/>
    <n v="6.0356033602685454E-2"/>
  </r>
  <r>
    <x v="818"/>
    <x v="272"/>
    <s v="CUST1223"/>
    <s v="Customer 1222"/>
    <x v="3"/>
    <s v="Bhopal"/>
    <x v="7"/>
    <x v="4"/>
    <n v="3"/>
    <n v="3398.24"/>
    <n v="0.02"/>
    <x v="818"/>
    <n v="7770.25"/>
    <x v="817"/>
    <x v="1"/>
    <x v="3"/>
    <x v="0"/>
    <x v="9"/>
    <n v="10"/>
    <s v="Q4"/>
    <n v="0.22226181408351461"/>
  </r>
  <r>
    <x v="819"/>
    <x v="272"/>
    <s v="CUST1113"/>
    <s v="Customer 1035"/>
    <x v="0"/>
    <s v="Kolkata"/>
    <x v="11"/>
    <x v="4"/>
    <n v="1"/>
    <n v="1300.33"/>
    <n v="0.05"/>
    <x v="819"/>
    <n v="994.41"/>
    <x v="818"/>
    <x v="0"/>
    <x v="3"/>
    <x v="1"/>
    <x v="9"/>
    <n v="10"/>
    <s v="Q4"/>
    <n v="0.19501177841999176"/>
  </r>
  <r>
    <x v="820"/>
    <x v="272"/>
    <s v="CUST1142"/>
    <s v="Customer 1039"/>
    <x v="4"/>
    <s v="Lucknow"/>
    <x v="11"/>
    <x v="4"/>
    <n v="2"/>
    <n v="1112.6400000000001"/>
    <n v="0.05"/>
    <x v="820"/>
    <n v="1821.21"/>
    <x v="819"/>
    <x v="1"/>
    <x v="1"/>
    <x v="0"/>
    <x v="9"/>
    <n v="10"/>
    <s v="Q4"/>
    <n v="0.13850862338104655"/>
  </r>
  <r>
    <x v="821"/>
    <x v="272"/>
    <s v="CUST1038"/>
    <s v="Customer 1136"/>
    <x v="1"/>
    <s v="Chennai"/>
    <x v="11"/>
    <x v="4"/>
    <n v="4"/>
    <n v="1830.97"/>
    <n v="0.05"/>
    <x v="821"/>
    <n v="5742.72"/>
    <x v="820"/>
    <x v="0"/>
    <x v="3"/>
    <x v="2"/>
    <x v="9"/>
    <n v="10"/>
    <s v="Q4"/>
    <n v="0.17462261181512831"/>
  </r>
  <r>
    <x v="822"/>
    <x v="273"/>
    <s v="CUST1279"/>
    <s v="Customer 1117"/>
    <x v="1"/>
    <s v="Chennai"/>
    <x v="8"/>
    <x v="0"/>
    <n v="2"/>
    <n v="15709.95"/>
    <n v="0.15"/>
    <x v="822"/>
    <n v="23040.86"/>
    <x v="821"/>
    <x v="0"/>
    <x v="1"/>
    <x v="2"/>
    <x v="9"/>
    <n v="10"/>
    <s v="Q4"/>
    <n v="0.13727004087330175"/>
  </r>
  <r>
    <x v="823"/>
    <x v="273"/>
    <s v="CUST1029"/>
    <s v="Customer 1077"/>
    <x v="2"/>
    <s v="Mumbai"/>
    <x v="1"/>
    <x v="1"/>
    <n v="3"/>
    <n v="12655.09"/>
    <n v="0.02"/>
    <x v="823"/>
    <n v="28696.77"/>
    <x v="822"/>
    <x v="0"/>
    <x v="0"/>
    <x v="2"/>
    <x v="9"/>
    <n v="10"/>
    <s v="Q4"/>
    <n v="0.2287050246788418"/>
  </r>
  <r>
    <x v="824"/>
    <x v="273"/>
    <s v="CUST1053"/>
    <s v="Customer 1074"/>
    <x v="2"/>
    <s v="Ahmedabad"/>
    <x v="9"/>
    <x v="0"/>
    <n v="1"/>
    <n v="5734.69"/>
    <n v="0.02"/>
    <x v="824"/>
    <n v="4366.33"/>
    <x v="823"/>
    <x v="0"/>
    <x v="3"/>
    <x v="0"/>
    <x v="9"/>
    <n v="10"/>
    <s v="Q4"/>
    <n v="0.22307295373665481"/>
  </r>
  <r>
    <x v="825"/>
    <x v="273"/>
    <s v="CUST1005"/>
    <s v="Customer 1020"/>
    <x v="2"/>
    <s v="Pune"/>
    <x v="7"/>
    <x v="4"/>
    <n v="1"/>
    <n v="3321.12"/>
    <n v="0"/>
    <x v="825"/>
    <n v="2578.64"/>
    <x v="824"/>
    <x v="0"/>
    <x v="1"/>
    <x v="1"/>
    <x v="9"/>
    <n v="10"/>
    <s v="Q4"/>
    <n v="0.22356313532784122"/>
  </r>
  <r>
    <x v="826"/>
    <x v="273"/>
    <s v="CUST1057"/>
    <s v="Customer 1050"/>
    <x v="0"/>
    <s v="Patna"/>
    <x v="3"/>
    <x v="2"/>
    <n v="2"/>
    <n v="792.72"/>
    <n v="0.1"/>
    <x v="826"/>
    <n v="1352.42"/>
    <x v="825"/>
    <x v="0"/>
    <x v="2"/>
    <x v="1"/>
    <x v="9"/>
    <n v="10"/>
    <s v="Q4"/>
    <n v="5.2197070572569906E-2"/>
  </r>
  <r>
    <x v="827"/>
    <x v="273"/>
    <s v="CUST1012"/>
    <s v="Customer 1080"/>
    <x v="3"/>
    <s v="Indore"/>
    <x v="3"/>
    <x v="2"/>
    <n v="1"/>
    <n v="1454.52"/>
    <n v="0.02"/>
    <x v="827"/>
    <n v="1162.96"/>
    <x v="826"/>
    <x v="0"/>
    <x v="1"/>
    <x v="2"/>
    <x v="9"/>
    <n v="10"/>
    <s v="Q4"/>
    <n v="0.18413391046912161"/>
  </r>
  <r>
    <x v="828"/>
    <x v="273"/>
    <s v="CUST1084"/>
    <s v="Customer 1262"/>
    <x v="0"/>
    <s v="Patna"/>
    <x v="9"/>
    <x v="0"/>
    <n v="2"/>
    <n v="7665.87"/>
    <n v="0.1"/>
    <x v="828"/>
    <n v="12420.71"/>
    <x v="827"/>
    <x v="1"/>
    <x v="0"/>
    <x v="0"/>
    <x v="9"/>
    <n v="10"/>
    <s v="Q4"/>
    <n v="9.9855274858191817E-2"/>
  </r>
  <r>
    <x v="829"/>
    <x v="273"/>
    <s v="CUST1035"/>
    <s v="Customer 1215"/>
    <x v="1"/>
    <s v="Hyderabad"/>
    <x v="5"/>
    <x v="3"/>
    <n v="1"/>
    <n v="201.59"/>
    <n v="0.1"/>
    <x v="829"/>
    <n v="176.38"/>
    <x v="828"/>
    <x v="1"/>
    <x v="4"/>
    <x v="1"/>
    <x v="9"/>
    <n v="10"/>
    <s v="Q4"/>
    <n v="2.7834426500578734E-2"/>
  </r>
  <r>
    <x v="830"/>
    <x v="274"/>
    <s v="CUST1298"/>
    <s v="Customer 1283"/>
    <x v="4"/>
    <s v="Lucknow"/>
    <x v="10"/>
    <x v="0"/>
    <n v="1"/>
    <n v="20771.150000000001"/>
    <n v="0.1"/>
    <x v="830"/>
    <n v="17400.88"/>
    <x v="829"/>
    <x v="0"/>
    <x v="0"/>
    <x v="1"/>
    <x v="9"/>
    <n v="10"/>
    <s v="Q4"/>
    <n v="6.9174988392022269E-2"/>
  </r>
  <r>
    <x v="831"/>
    <x v="274"/>
    <s v="CUST1116"/>
    <s v="Customer 1269"/>
    <x v="1"/>
    <s v="Hyderabad"/>
    <x v="2"/>
    <x v="0"/>
    <n v="1"/>
    <n v="67475.44"/>
    <n v="0.1"/>
    <x v="831"/>
    <n v="50070.36"/>
    <x v="830"/>
    <x v="0"/>
    <x v="1"/>
    <x v="1"/>
    <x v="9"/>
    <n v="10"/>
    <s v="Q4"/>
    <n v="0.17549660040936704"/>
  </r>
  <r>
    <x v="832"/>
    <x v="274"/>
    <s v="CUST1291"/>
    <s v="Customer 1086"/>
    <x v="2"/>
    <s v="Ahmedabad"/>
    <x v="3"/>
    <x v="2"/>
    <n v="3"/>
    <n v="1319.01"/>
    <n v="0.05"/>
    <x v="832"/>
    <n v="2467.4499999999998"/>
    <x v="831"/>
    <x v="0"/>
    <x v="2"/>
    <x v="0"/>
    <x v="9"/>
    <n v="10"/>
    <s v="Q4"/>
    <n v="0.34362015120318795"/>
  </r>
  <r>
    <x v="833"/>
    <x v="275"/>
    <s v="CUST1225"/>
    <s v="Customer 1188"/>
    <x v="0"/>
    <s v="Kolkata"/>
    <x v="11"/>
    <x v="4"/>
    <n v="4"/>
    <n v="1472.94"/>
    <n v="0"/>
    <x v="833"/>
    <n v="4092.3"/>
    <x v="832"/>
    <x v="0"/>
    <x v="3"/>
    <x v="2"/>
    <x v="10"/>
    <n v="11"/>
    <s v="Q4"/>
    <n v="0.30541977269949894"/>
  </r>
  <r>
    <x v="834"/>
    <x v="275"/>
    <s v="CUST1298"/>
    <s v="Customer 1204"/>
    <x v="0"/>
    <s v="Bhubaneswar"/>
    <x v="0"/>
    <x v="0"/>
    <n v="2"/>
    <n v="19056.91"/>
    <n v="0.05"/>
    <x v="834"/>
    <n v="27498.240000000002"/>
    <x v="833"/>
    <x v="1"/>
    <x v="4"/>
    <x v="1"/>
    <x v="10"/>
    <n v="11"/>
    <s v="Q4"/>
    <n v="0.24055067190711035"/>
  </r>
  <r>
    <x v="835"/>
    <x v="275"/>
    <s v="CUST1213"/>
    <s v="Customer 1159"/>
    <x v="0"/>
    <s v="Bhubaneswar"/>
    <x v="9"/>
    <x v="0"/>
    <n v="2"/>
    <n v="5825.55"/>
    <n v="0"/>
    <x v="835"/>
    <n v="9769.65"/>
    <x v="834"/>
    <x v="0"/>
    <x v="3"/>
    <x v="0"/>
    <x v="10"/>
    <n v="11"/>
    <s v="Q4"/>
    <n v="0.16148260679249168"/>
  </r>
  <r>
    <x v="836"/>
    <x v="275"/>
    <s v="CUST1162"/>
    <s v="Customer 1042"/>
    <x v="0"/>
    <s v="Patna"/>
    <x v="8"/>
    <x v="0"/>
    <n v="3"/>
    <n v="9649.69"/>
    <n v="0.1"/>
    <x v="836"/>
    <n v="25325.47"/>
    <x v="835"/>
    <x v="0"/>
    <x v="3"/>
    <x v="2"/>
    <x v="10"/>
    <n v="11"/>
    <s v="Q4"/>
    <n v="2.7968278386253868E-2"/>
  </r>
  <r>
    <x v="837"/>
    <x v="275"/>
    <s v="CUST1007"/>
    <s v="Customer 1122"/>
    <x v="4"/>
    <s v="Delhi"/>
    <x v="11"/>
    <x v="4"/>
    <n v="2"/>
    <n v="1015.13"/>
    <n v="0.1"/>
    <x v="837"/>
    <n v="1467.76"/>
    <x v="836"/>
    <x v="1"/>
    <x v="4"/>
    <x v="1"/>
    <x v="10"/>
    <n v="11"/>
    <s v="Q4"/>
    <n v="0.19672947576386116"/>
  </r>
  <r>
    <x v="838"/>
    <x v="275"/>
    <s v="CUST1007"/>
    <s v="Customer 1103"/>
    <x v="3"/>
    <s v="Indore"/>
    <x v="1"/>
    <x v="1"/>
    <n v="4"/>
    <n v="12304.88"/>
    <n v="0.15"/>
    <x v="838"/>
    <n v="35530.76"/>
    <x v="837"/>
    <x v="1"/>
    <x v="0"/>
    <x v="0"/>
    <x v="10"/>
    <n v="11"/>
    <s v="Q4"/>
    <n v="0.15072523836192195"/>
  </r>
  <r>
    <x v="839"/>
    <x v="276"/>
    <s v="CUST1151"/>
    <s v="Customer 1141"/>
    <x v="4"/>
    <s v="Delhi"/>
    <x v="6"/>
    <x v="2"/>
    <n v="1"/>
    <n v="2780.66"/>
    <n v="0.15"/>
    <x v="839"/>
    <n v="1835.92"/>
    <x v="838"/>
    <x v="1"/>
    <x v="4"/>
    <x v="1"/>
    <x v="10"/>
    <n v="11"/>
    <s v="Q4"/>
    <n v="0.22323952004603226"/>
  </r>
  <r>
    <x v="840"/>
    <x v="277"/>
    <s v="CUST1019"/>
    <s v="Customer 1300"/>
    <x v="3"/>
    <s v="Nagpur"/>
    <x v="9"/>
    <x v="0"/>
    <n v="1"/>
    <n v="3273.34"/>
    <n v="0.1"/>
    <x v="840"/>
    <n v="2282.9699999999998"/>
    <x v="839"/>
    <x v="1"/>
    <x v="0"/>
    <x v="0"/>
    <x v="10"/>
    <n v="11"/>
    <s v="Q4"/>
    <n v="0.22506373026568136"/>
  </r>
  <r>
    <x v="841"/>
    <x v="277"/>
    <s v="CUST1138"/>
    <s v="Customer 1174"/>
    <x v="1"/>
    <s v="Hyderabad"/>
    <x v="8"/>
    <x v="0"/>
    <n v="2"/>
    <n v="14249.97"/>
    <n v="0.15"/>
    <x v="841"/>
    <n v="22779.95"/>
    <x v="840"/>
    <x v="0"/>
    <x v="0"/>
    <x v="2"/>
    <x v="10"/>
    <n v="11"/>
    <s v="Q4"/>
    <n v="5.9649245922076204E-2"/>
  </r>
  <r>
    <x v="842"/>
    <x v="278"/>
    <s v="CUST1227"/>
    <s v="Customer 1222"/>
    <x v="2"/>
    <s v="Mumbai"/>
    <x v="0"/>
    <x v="0"/>
    <n v="2"/>
    <n v="6198.46"/>
    <n v="0"/>
    <x v="842"/>
    <n v="10343.73"/>
    <x v="841"/>
    <x v="1"/>
    <x v="4"/>
    <x v="2"/>
    <x v="10"/>
    <n v="11"/>
    <s v="Q4"/>
    <n v="0.16562097682327545"/>
  </r>
  <r>
    <x v="843"/>
    <x v="278"/>
    <s v="CUST1069"/>
    <s v="Customer 1104"/>
    <x v="0"/>
    <s v="Bhubaneswar"/>
    <x v="7"/>
    <x v="4"/>
    <n v="4"/>
    <n v="2379.31"/>
    <n v="0.15"/>
    <x v="843"/>
    <n v="5978.25"/>
    <x v="842"/>
    <x v="0"/>
    <x v="0"/>
    <x v="1"/>
    <x v="10"/>
    <n v="11"/>
    <s v="Q4"/>
    <n v="0.26100016687990213"/>
  </r>
  <r>
    <x v="844"/>
    <x v="278"/>
    <s v="CUST1100"/>
    <s v="Customer 1261"/>
    <x v="1"/>
    <s v="Hyderabad"/>
    <x v="10"/>
    <x v="0"/>
    <n v="2"/>
    <n v="29675.48"/>
    <n v="0.02"/>
    <x v="844"/>
    <n v="50512.160000000003"/>
    <x v="843"/>
    <x v="1"/>
    <x v="0"/>
    <x v="1"/>
    <x v="10"/>
    <n v="11"/>
    <s v="Q4"/>
    <n v="0.13155539325568383"/>
  </r>
  <r>
    <x v="845"/>
    <x v="279"/>
    <s v="CUST1172"/>
    <s v="Customer 1173"/>
    <x v="4"/>
    <s v="Jaipur"/>
    <x v="6"/>
    <x v="2"/>
    <n v="2"/>
    <n v="3286.16"/>
    <n v="0.1"/>
    <x v="845"/>
    <n v="4223.57"/>
    <x v="844"/>
    <x v="0"/>
    <x v="1"/>
    <x v="0"/>
    <x v="10"/>
    <n v="11"/>
    <s v="Q4"/>
    <n v="0.28596690836487693"/>
  </r>
  <r>
    <x v="846"/>
    <x v="279"/>
    <s v="CUST1084"/>
    <s v="Customer 1242"/>
    <x v="4"/>
    <s v="Jaipur"/>
    <x v="10"/>
    <x v="0"/>
    <n v="4"/>
    <n v="29208.97"/>
    <n v="0.05"/>
    <x v="846"/>
    <n v="101735.12"/>
    <x v="845"/>
    <x v="1"/>
    <x v="1"/>
    <x v="1"/>
    <x v="10"/>
    <n v="11"/>
    <s v="Q4"/>
    <n v="8.341858562018932E-2"/>
  </r>
  <r>
    <x v="847"/>
    <x v="279"/>
    <s v="CUST1044"/>
    <s v="Customer 1098"/>
    <x v="3"/>
    <s v="Indore"/>
    <x v="4"/>
    <x v="1"/>
    <n v="4"/>
    <n v="6641.52"/>
    <n v="0.1"/>
    <x v="847"/>
    <n v="22854.959999999999"/>
    <x v="846"/>
    <x v="1"/>
    <x v="3"/>
    <x v="2"/>
    <x v="10"/>
    <n v="11"/>
    <s v="Q4"/>
    <n v="4.4104281692567839E-2"/>
  </r>
  <r>
    <x v="848"/>
    <x v="279"/>
    <s v="CUST1150"/>
    <s v="Customer 1016"/>
    <x v="0"/>
    <s v="Bhubaneswar"/>
    <x v="9"/>
    <x v="0"/>
    <n v="3"/>
    <n v="4325.58"/>
    <n v="0.15"/>
    <x v="848"/>
    <n v="10132.74"/>
    <x v="847"/>
    <x v="0"/>
    <x v="1"/>
    <x v="0"/>
    <x v="10"/>
    <n v="11"/>
    <s v="Q4"/>
    <n v="8.1366390365386759E-2"/>
  </r>
  <r>
    <x v="849"/>
    <x v="280"/>
    <s v="CUST1006"/>
    <s v="Customer 1197"/>
    <x v="4"/>
    <s v="Delhi"/>
    <x v="2"/>
    <x v="0"/>
    <n v="1"/>
    <n v="64373.86"/>
    <n v="0"/>
    <x v="849"/>
    <n v="40140.620000000003"/>
    <x v="848"/>
    <x v="1"/>
    <x v="3"/>
    <x v="1"/>
    <x v="10"/>
    <n v="11"/>
    <s v="Q4"/>
    <n v="0.37644534598360269"/>
  </r>
  <r>
    <x v="850"/>
    <x v="280"/>
    <s v="CUST1235"/>
    <s v="Customer 1149"/>
    <x v="0"/>
    <s v="Kolkata"/>
    <x v="7"/>
    <x v="4"/>
    <n v="4"/>
    <n v="1177.17"/>
    <n v="0.15"/>
    <x v="850"/>
    <n v="3469.12"/>
    <x v="849"/>
    <x v="0"/>
    <x v="1"/>
    <x v="1"/>
    <x v="10"/>
    <n v="11"/>
    <s v="Q4"/>
    <n v="0.13323572474377746"/>
  </r>
  <r>
    <x v="851"/>
    <x v="281"/>
    <s v="CUST1286"/>
    <s v="Customer 1242"/>
    <x v="0"/>
    <s v="Kolkata"/>
    <x v="11"/>
    <x v="4"/>
    <n v="2"/>
    <n v="2114.66"/>
    <n v="0"/>
    <x v="851"/>
    <n v="3082.09"/>
    <x v="850"/>
    <x v="1"/>
    <x v="3"/>
    <x v="0"/>
    <x v="10"/>
    <n v="11"/>
    <s v="Q4"/>
    <n v="0.27125637218276227"/>
  </r>
  <r>
    <x v="852"/>
    <x v="281"/>
    <s v="CUST1096"/>
    <s v="Customer 1143"/>
    <x v="2"/>
    <s v="Ahmedabad"/>
    <x v="5"/>
    <x v="3"/>
    <n v="1"/>
    <n v="98.51"/>
    <n v="0"/>
    <x v="852"/>
    <n v="67.2"/>
    <x v="851"/>
    <x v="0"/>
    <x v="4"/>
    <x v="1"/>
    <x v="10"/>
    <n v="11"/>
    <s v="Q4"/>
    <n v="0.31783575271546033"/>
  </r>
  <r>
    <x v="853"/>
    <x v="282"/>
    <s v="CUST1057"/>
    <s v="Customer 1290"/>
    <x v="3"/>
    <s v="Bhopal"/>
    <x v="5"/>
    <x v="3"/>
    <n v="2"/>
    <n v="228.64"/>
    <n v="0.1"/>
    <x v="853"/>
    <n v="304.01"/>
    <x v="852"/>
    <x v="1"/>
    <x v="2"/>
    <x v="1"/>
    <x v="10"/>
    <n v="11"/>
    <s v="Q4"/>
    <n v="0.26130482322925525"/>
  </r>
  <r>
    <x v="854"/>
    <x v="282"/>
    <s v="CUST1026"/>
    <s v="Customer 1262"/>
    <x v="1"/>
    <s v="Chennai"/>
    <x v="7"/>
    <x v="4"/>
    <n v="2"/>
    <n v="1503.71"/>
    <n v="0.02"/>
    <x v="854"/>
    <n v="2127.9699999999998"/>
    <x v="853"/>
    <x v="0"/>
    <x v="4"/>
    <x v="2"/>
    <x v="10"/>
    <n v="11"/>
    <s v="Q4"/>
    <n v="0.27798606846335761"/>
  </r>
  <r>
    <x v="855"/>
    <x v="282"/>
    <s v="CUST1036"/>
    <s v="Customer 1173"/>
    <x v="1"/>
    <s v="Hyderabad"/>
    <x v="10"/>
    <x v="0"/>
    <n v="2"/>
    <n v="50081.68"/>
    <n v="0.1"/>
    <x v="855"/>
    <n v="75417.899999999994"/>
    <x v="854"/>
    <x v="0"/>
    <x v="0"/>
    <x v="1"/>
    <x v="10"/>
    <n v="11"/>
    <s v="Q4"/>
    <n v="0.16338998227562043"/>
  </r>
  <r>
    <x v="856"/>
    <x v="282"/>
    <s v="CUST1118"/>
    <s v="Customer 1100"/>
    <x v="0"/>
    <s v="Patna"/>
    <x v="5"/>
    <x v="3"/>
    <n v="1"/>
    <n v="265.37"/>
    <n v="0.05"/>
    <x v="856"/>
    <n v="204.7"/>
    <x v="855"/>
    <x v="0"/>
    <x v="0"/>
    <x v="2"/>
    <x v="10"/>
    <n v="11"/>
    <s v="Q4"/>
    <n v="0.18802062673542244"/>
  </r>
  <r>
    <x v="857"/>
    <x v="283"/>
    <s v="CUST1117"/>
    <s v="Customer 1192"/>
    <x v="2"/>
    <s v="Ahmedabad"/>
    <x v="2"/>
    <x v="0"/>
    <n v="1"/>
    <n v="67729.81"/>
    <n v="0.15"/>
    <x v="857"/>
    <n v="55128.04"/>
    <x v="856"/>
    <x v="1"/>
    <x v="3"/>
    <x v="1"/>
    <x v="10"/>
    <n v="11"/>
    <s v="Q4"/>
    <n v="4.2422886507184086E-2"/>
  </r>
  <r>
    <x v="858"/>
    <x v="283"/>
    <s v="CUST1114"/>
    <s v="Customer 1075"/>
    <x v="1"/>
    <s v="Chennai"/>
    <x v="6"/>
    <x v="2"/>
    <n v="1"/>
    <n v="1785.62"/>
    <n v="0"/>
    <x v="858"/>
    <n v="1337.38"/>
    <x v="857"/>
    <x v="1"/>
    <x v="4"/>
    <x v="0"/>
    <x v="10"/>
    <n v="11"/>
    <s v="Q4"/>
    <n v="0.25102765426014495"/>
  </r>
  <r>
    <x v="859"/>
    <x v="283"/>
    <s v="CUST1161"/>
    <s v="Customer 1016"/>
    <x v="3"/>
    <s v="Indore"/>
    <x v="10"/>
    <x v="0"/>
    <n v="2"/>
    <n v="20313.47"/>
    <n v="0.02"/>
    <x v="859"/>
    <n v="32928.57"/>
    <x v="858"/>
    <x v="0"/>
    <x v="2"/>
    <x v="1"/>
    <x v="10"/>
    <n v="11"/>
    <s v="Q4"/>
    <n v="0.172948229786208"/>
  </r>
  <r>
    <x v="860"/>
    <x v="284"/>
    <s v="CUST1160"/>
    <s v="Customer 1096"/>
    <x v="0"/>
    <s v="Kolkata"/>
    <x v="7"/>
    <x v="4"/>
    <n v="1"/>
    <n v="2669.58"/>
    <n v="0.1"/>
    <x v="860"/>
    <n v="1824.58"/>
    <x v="859"/>
    <x v="0"/>
    <x v="0"/>
    <x v="0"/>
    <x v="10"/>
    <n v="11"/>
    <s v="Q4"/>
    <n v="0.2405873587999767"/>
  </r>
  <r>
    <x v="861"/>
    <x v="284"/>
    <s v="CUST1285"/>
    <s v="Customer 1106"/>
    <x v="3"/>
    <s v="Bhopal"/>
    <x v="0"/>
    <x v="0"/>
    <n v="3"/>
    <n v="9171.14"/>
    <n v="0.02"/>
    <x v="861"/>
    <n v="20126.34"/>
    <x v="860"/>
    <x v="0"/>
    <x v="0"/>
    <x v="1"/>
    <x v="10"/>
    <n v="11"/>
    <s v="Q4"/>
    <n v="0.25356124933474017"/>
  </r>
  <r>
    <x v="862"/>
    <x v="284"/>
    <s v="CUST1124"/>
    <s v="Customer 1114"/>
    <x v="0"/>
    <s v="Bhubaneswar"/>
    <x v="2"/>
    <x v="0"/>
    <n v="4"/>
    <n v="73561.67"/>
    <n v="0"/>
    <x v="862"/>
    <n v="210905.26"/>
    <x v="861"/>
    <x v="0"/>
    <x v="4"/>
    <x v="1"/>
    <x v="10"/>
    <n v="11"/>
    <s v="Q4"/>
    <n v="0.28323656871846437"/>
  </r>
  <r>
    <x v="863"/>
    <x v="285"/>
    <s v="CUST1217"/>
    <s v="Customer 1120"/>
    <x v="2"/>
    <s v="Ahmedabad"/>
    <x v="7"/>
    <x v="4"/>
    <n v="4"/>
    <n v="1113.26"/>
    <n v="0.02"/>
    <x v="863"/>
    <n v="3414.61"/>
    <x v="862"/>
    <x v="1"/>
    <x v="2"/>
    <x v="2"/>
    <x v="10"/>
    <n v="11"/>
    <s v="Q4"/>
    <n v="0.21754682652074483"/>
  </r>
  <r>
    <x v="864"/>
    <x v="285"/>
    <s v="CUST1014"/>
    <s v="Customer 1242"/>
    <x v="0"/>
    <s v="Kolkata"/>
    <x v="9"/>
    <x v="0"/>
    <n v="1"/>
    <n v="5826.09"/>
    <n v="0.02"/>
    <x v="864"/>
    <n v="5049.53"/>
    <x v="863"/>
    <x v="0"/>
    <x v="0"/>
    <x v="1"/>
    <x v="10"/>
    <n v="11"/>
    <s v="Q4"/>
    <n v="0.11560240088132731"/>
  </r>
  <r>
    <x v="865"/>
    <x v="285"/>
    <s v="CUST1059"/>
    <s v="Customer 1213"/>
    <x v="3"/>
    <s v="Indore"/>
    <x v="10"/>
    <x v="0"/>
    <n v="1"/>
    <n v="39570.94"/>
    <n v="0.15"/>
    <x v="865"/>
    <n v="34298.54"/>
    <x v="864"/>
    <x v="0"/>
    <x v="2"/>
    <x v="1"/>
    <x v="10"/>
    <n v="11"/>
    <s v="Q4"/>
    <n v="-1.9718569479088933E-2"/>
  </r>
  <r>
    <x v="866"/>
    <x v="285"/>
    <s v="CUST1225"/>
    <s v="Customer 1217"/>
    <x v="2"/>
    <s v="Pune"/>
    <x v="10"/>
    <x v="0"/>
    <n v="1"/>
    <n v="27507.24"/>
    <n v="0.02"/>
    <x v="866"/>
    <n v="18650"/>
    <x v="865"/>
    <x v="0"/>
    <x v="3"/>
    <x v="2"/>
    <x v="10"/>
    <n v="11"/>
    <s v="Q4"/>
    <n v="0.30816000237414265"/>
  </r>
  <r>
    <x v="867"/>
    <x v="286"/>
    <s v="CUST1145"/>
    <s v="Customer 1050"/>
    <x v="0"/>
    <s v="Patna"/>
    <x v="8"/>
    <x v="0"/>
    <n v="1"/>
    <n v="20563.93"/>
    <n v="0.1"/>
    <x v="867"/>
    <n v="17105.37"/>
    <x v="866"/>
    <x v="1"/>
    <x v="1"/>
    <x v="0"/>
    <x v="10"/>
    <n v="11"/>
    <s v="Q4"/>
    <n v="7.5762094800281399E-2"/>
  </r>
  <r>
    <x v="868"/>
    <x v="286"/>
    <s v="CUST1149"/>
    <s v="Customer 1080"/>
    <x v="4"/>
    <s v="Jaipur"/>
    <x v="7"/>
    <x v="4"/>
    <n v="2"/>
    <n v="3400.7"/>
    <n v="0.15"/>
    <x v="868"/>
    <n v="5931.97"/>
    <x v="867"/>
    <x v="0"/>
    <x v="3"/>
    <x v="2"/>
    <x v="10"/>
    <n v="11"/>
    <s v="Q4"/>
    <n v="-2.6081135544758088E-2"/>
  </r>
  <r>
    <x v="869"/>
    <x v="286"/>
    <s v="CUST1147"/>
    <s v="Customer 1004"/>
    <x v="0"/>
    <s v="Patna"/>
    <x v="10"/>
    <x v="0"/>
    <n v="1"/>
    <n v="30952.9"/>
    <n v="0.1"/>
    <x v="869"/>
    <n v="24574.13"/>
    <x v="868"/>
    <x v="1"/>
    <x v="0"/>
    <x v="0"/>
    <x v="10"/>
    <n v="11"/>
    <s v="Q4"/>
    <n v="0.11786653628936582"/>
  </r>
  <r>
    <x v="870"/>
    <x v="287"/>
    <s v="CUST1169"/>
    <s v="Customer 1082"/>
    <x v="4"/>
    <s v="Jaipur"/>
    <x v="6"/>
    <x v="2"/>
    <n v="3"/>
    <n v="1366.35"/>
    <n v="0.02"/>
    <x v="870"/>
    <n v="2662.16"/>
    <x v="869"/>
    <x v="0"/>
    <x v="4"/>
    <x v="0"/>
    <x v="10"/>
    <n v="11"/>
    <s v="Q4"/>
    <n v="0.3372881229353733"/>
  </r>
  <r>
    <x v="871"/>
    <x v="287"/>
    <s v="CUST1241"/>
    <s v="Customer 1247"/>
    <x v="3"/>
    <s v="Bhopal"/>
    <x v="9"/>
    <x v="0"/>
    <n v="1"/>
    <n v="2628.32"/>
    <n v="0.02"/>
    <x v="871"/>
    <n v="1845.91"/>
    <x v="870"/>
    <x v="1"/>
    <x v="4"/>
    <x v="0"/>
    <x v="10"/>
    <n v="11"/>
    <s v="Q4"/>
    <n v="0.28335048044258954"/>
  </r>
  <r>
    <x v="872"/>
    <x v="287"/>
    <s v="CUST1144"/>
    <s v="Customer 1216"/>
    <x v="1"/>
    <s v="Hyderabad"/>
    <x v="11"/>
    <x v="4"/>
    <n v="2"/>
    <n v="1032.55"/>
    <n v="0.05"/>
    <x v="872"/>
    <n v="1494.21"/>
    <x v="871"/>
    <x v="1"/>
    <x v="4"/>
    <x v="2"/>
    <x v="10"/>
    <n v="11"/>
    <s v="Q4"/>
    <n v="0.23836296537943971"/>
  </r>
  <r>
    <x v="873"/>
    <x v="287"/>
    <s v="CUST1224"/>
    <s v="Customer 1062"/>
    <x v="4"/>
    <s v="Jaipur"/>
    <x v="10"/>
    <x v="0"/>
    <n v="1"/>
    <n v="22945.07"/>
    <n v="0.02"/>
    <x v="873"/>
    <n v="16915.150000000001"/>
    <x v="872"/>
    <x v="0"/>
    <x v="0"/>
    <x v="2"/>
    <x v="10"/>
    <n v="11"/>
    <s v="Q4"/>
    <n v="0.24775317450681911"/>
  </r>
  <r>
    <x v="874"/>
    <x v="287"/>
    <s v="CUST1177"/>
    <s v="Customer 1228"/>
    <x v="4"/>
    <s v="Lucknow"/>
    <x v="6"/>
    <x v="2"/>
    <n v="1"/>
    <n v="2165.5500000000002"/>
    <n v="0.15"/>
    <x v="874"/>
    <n v="1645.63"/>
    <x v="873"/>
    <x v="1"/>
    <x v="2"/>
    <x v="2"/>
    <x v="10"/>
    <n v="11"/>
    <s v="Q4"/>
    <n v="0.105985701247338"/>
  </r>
  <r>
    <x v="875"/>
    <x v="288"/>
    <s v="CUST1181"/>
    <s v="Customer 1057"/>
    <x v="1"/>
    <s v="Hyderabad"/>
    <x v="8"/>
    <x v="0"/>
    <n v="2"/>
    <n v="25212.67"/>
    <n v="0"/>
    <x v="875"/>
    <n v="33499.46"/>
    <x v="874"/>
    <x v="0"/>
    <x v="4"/>
    <x v="2"/>
    <x v="10"/>
    <n v="11"/>
    <s v="Q4"/>
    <n v="0.33566218889153754"/>
  </r>
  <r>
    <x v="876"/>
    <x v="288"/>
    <s v="CUST1214"/>
    <s v="Customer 1208"/>
    <x v="1"/>
    <s v="Hyderabad"/>
    <x v="10"/>
    <x v="0"/>
    <n v="1"/>
    <n v="41056.1"/>
    <n v="0.02"/>
    <x v="876"/>
    <n v="32892.35"/>
    <x v="875"/>
    <x v="1"/>
    <x v="2"/>
    <x v="1"/>
    <x v="10"/>
    <n v="11"/>
    <s v="Q4"/>
    <n v="0.18249369081331715"/>
  </r>
  <r>
    <x v="877"/>
    <x v="288"/>
    <s v="CUST1167"/>
    <s v="Customer 1013"/>
    <x v="3"/>
    <s v="Nagpur"/>
    <x v="10"/>
    <x v="0"/>
    <n v="1"/>
    <n v="42686.86"/>
    <n v="0.02"/>
    <x v="877"/>
    <n v="29949.43"/>
    <x v="876"/>
    <x v="1"/>
    <x v="0"/>
    <x v="1"/>
    <x v="10"/>
    <n v="11"/>
    <s v="Q4"/>
    <n v="0.28407371957912775"/>
  </r>
  <r>
    <x v="878"/>
    <x v="288"/>
    <s v="CUST1089"/>
    <s v="Customer 1187"/>
    <x v="1"/>
    <s v="Chennai"/>
    <x v="2"/>
    <x v="0"/>
    <n v="3"/>
    <n v="69173.62"/>
    <n v="0.05"/>
    <x v="878"/>
    <n v="178359.63"/>
    <x v="877"/>
    <x v="1"/>
    <x v="2"/>
    <x v="0"/>
    <x v="10"/>
    <n v="11"/>
    <s v="Q4"/>
    <n v="9.5286246932584875E-2"/>
  </r>
  <r>
    <x v="879"/>
    <x v="289"/>
    <s v="CUST1067"/>
    <s v="Customer 1249"/>
    <x v="2"/>
    <s v="Ahmedabad"/>
    <x v="4"/>
    <x v="1"/>
    <n v="4"/>
    <n v="8668.02"/>
    <n v="0.02"/>
    <x v="879"/>
    <n v="28114.17"/>
    <x v="878"/>
    <x v="1"/>
    <x v="1"/>
    <x v="1"/>
    <x v="10"/>
    <n v="11"/>
    <s v="Q4"/>
    <n v="0.17259284067873229"/>
  </r>
  <r>
    <x v="880"/>
    <x v="289"/>
    <s v="CUST1199"/>
    <s v="Customer 1114"/>
    <x v="0"/>
    <s v="Bhubaneswar"/>
    <x v="4"/>
    <x v="1"/>
    <n v="1"/>
    <n v="7139.52"/>
    <n v="0.02"/>
    <x v="880"/>
    <n v="5947.59"/>
    <x v="879"/>
    <x v="0"/>
    <x v="1"/>
    <x v="0"/>
    <x v="10"/>
    <n v="11"/>
    <s v="Q4"/>
    <n v="0.14994718961572051"/>
  </r>
  <r>
    <x v="881"/>
    <x v="289"/>
    <s v="CUST1281"/>
    <s v="Customer 1280"/>
    <x v="0"/>
    <s v="Patna"/>
    <x v="2"/>
    <x v="0"/>
    <n v="3"/>
    <n v="61414.85"/>
    <n v="0.02"/>
    <x v="881"/>
    <n v="124440.1"/>
    <x v="880"/>
    <x v="0"/>
    <x v="2"/>
    <x v="2"/>
    <x v="10"/>
    <n v="11"/>
    <s v="Q4"/>
    <n v="0.31080895921049029"/>
  </r>
  <r>
    <x v="882"/>
    <x v="289"/>
    <s v="CUST1041"/>
    <s v="Customer 1215"/>
    <x v="3"/>
    <s v="Nagpur"/>
    <x v="5"/>
    <x v="3"/>
    <n v="1"/>
    <n v="319.23"/>
    <n v="0"/>
    <x v="882"/>
    <n v="258.08999999999997"/>
    <x v="881"/>
    <x v="1"/>
    <x v="4"/>
    <x v="0"/>
    <x v="10"/>
    <n v="11"/>
    <s v="Q4"/>
    <n v="0.19152335306832063"/>
  </r>
  <r>
    <x v="883"/>
    <x v="290"/>
    <s v="CUST1249"/>
    <s v="Customer 1191"/>
    <x v="1"/>
    <s v="Hyderabad"/>
    <x v="8"/>
    <x v="0"/>
    <n v="1"/>
    <n v="9572.25"/>
    <n v="0.15"/>
    <x v="883"/>
    <n v="7462.84"/>
    <x v="882"/>
    <x v="0"/>
    <x v="2"/>
    <x v="0"/>
    <x v="10"/>
    <n v="11"/>
    <s v="Q4"/>
    <n v="8.2784667930942524E-2"/>
  </r>
  <r>
    <x v="884"/>
    <x v="290"/>
    <s v="CUST1213"/>
    <s v="Customer 1109"/>
    <x v="2"/>
    <s v="Mumbai"/>
    <x v="9"/>
    <x v="0"/>
    <n v="1"/>
    <n v="5120.12"/>
    <n v="0.15"/>
    <x v="884"/>
    <n v="4252.74"/>
    <x v="883"/>
    <x v="1"/>
    <x v="2"/>
    <x v="2"/>
    <x v="10"/>
    <n v="11"/>
    <s v="Q4"/>
    <n v="2.2830357758323566E-2"/>
  </r>
  <r>
    <x v="885"/>
    <x v="291"/>
    <s v="CUST1297"/>
    <s v="Customer 1171"/>
    <x v="4"/>
    <s v="Jaipur"/>
    <x v="6"/>
    <x v="2"/>
    <n v="3"/>
    <n v="1307.28"/>
    <n v="0.15"/>
    <x v="885"/>
    <n v="2844.92"/>
    <x v="884"/>
    <x v="1"/>
    <x v="3"/>
    <x v="1"/>
    <x v="10"/>
    <n v="11"/>
    <s v="Q4"/>
    <n v="0.14658203242179532"/>
  </r>
  <r>
    <x v="886"/>
    <x v="291"/>
    <s v="CUST1054"/>
    <s v="Customer 1298"/>
    <x v="3"/>
    <s v="Nagpur"/>
    <x v="4"/>
    <x v="1"/>
    <n v="3"/>
    <n v="5248.51"/>
    <n v="0.15"/>
    <x v="886"/>
    <n v="9887.2900000000009"/>
    <x v="885"/>
    <x v="0"/>
    <x v="3"/>
    <x v="1"/>
    <x v="10"/>
    <n v="11"/>
    <s v="Q4"/>
    <n v="0.26124390116335539"/>
  </r>
  <r>
    <x v="887"/>
    <x v="292"/>
    <s v="CUST1133"/>
    <s v="Customer 1293"/>
    <x v="4"/>
    <s v="Lucknow"/>
    <x v="1"/>
    <x v="1"/>
    <n v="2"/>
    <n v="14465.49"/>
    <n v="0.1"/>
    <x v="887"/>
    <n v="22188.17"/>
    <x v="886"/>
    <x v="0"/>
    <x v="2"/>
    <x v="0"/>
    <x v="10"/>
    <n v="11"/>
    <s v="Q4"/>
    <n v="0.14785036262552864"/>
  </r>
  <r>
    <x v="888"/>
    <x v="293"/>
    <s v="CUST1244"/>
    <s v="Customer 1182"/>
    <x v="4"/>
    <s v="Jaipur"/>
    <x v="7"/>
    <x v="4"/>
    <n v="1"/>
    <n v="1614.89"/>
    <n v="0.1"/>
    <x v="888"/>
    <n v="1213.42"/>
    <x v="887"/>
    <x v="0"/>
    <x v="1"/>
    <x v="0"/>
    <x v="10"/>
    <n v="11"/>
    <s v="Q4"/>
    <n v="0.16511627906976742"/>
  </r>
  <r>
    <x v="889"/>
    <x v="293"/>
    <s v="CUST1219"/>
    <s v="Customer 1089"/>
    <x v="2"/>
    <s v="Ahmedabad"/>
    <x v="7"/>
    <x v="4"/>
    <n v="3"/>
    <n v="2189.0500000000002"/>
    <n v="0"/>
    <x v="889"/>
    <n v="4727.37"/>
    <x v="888"/>
    <x v="0"/>
    <x v="0"/>
    <x v="2"/>
    <x v="10"/>
    <n v="11"/>
    <s v="Q4"/>
    <n v="0.28014892304881112"/>
  </r>
  <r>
    <x v="890"/>
    <x v="293"/>
    <s v="CUST1015"/>
    <s v="Customer 1175"/>
    <x v="2"/>
    <s v="Ahmedabad"/>
    <x v="2"/>
    <x v="0"/>
    <n v="4"/>
    <n v="71092.83"/>
    <n v="0.02"/>
    <x v="890"/>
    <n v="232708.94"/>
    <x v="889"/>
    <x v="1"/>
    <x v="1"/>
    <x v="2"/>
    <x v="10"/>
    <n v="11"/>
    <s v="Q4"/>
    <n v="0.164971681714361"/>
  </r>
  <r>
    <x v="891"/>
    <x v="293"/>
    <s v="CUST1276"/>
    <s v="Customer 1172"/>
    <x v="2"/>
    <s v="Ahmedabad"/>
    <x v="3"/>
    <x v="2"/>
    <n v="1"/>
    <n v="1494.53"/>
    <n v="0.15"/>
    <x v="891"/>
    <n v="1129.23"/>
    <x v="890"/>
    <x v="1"/>
    <x v="3"/>
    <x v="0"/>
    <x v="10"/>
    <n v="11"/>
    <s v="Q4"/>
    <n v="0.11108749557208644"/>
  </r>
  <r>
    <x v="892"/>
    <x v="293"/>
    <s v="CUST1176"/>
    <s v="Customer 1116"/>
    <x v="0"/>
    <s v="Patna"/>
    <x v="3"/>
    <x v="2"/>
    <n v="1"/>
    <n v="791.55"/>
    <n v="0"/>
    <x v="892"/>
    <n v="630.11"/>
    <x v="891"/>
    <x v="0"/>
    <x v="4"/>
    <x v="1"/>
    <x v="10"/>
    <n v="11"/>
    <s v="Q4"/>
    <n v="0.20395426694460236"/>
  </r>
  <r>
    <x v="893"/>
    <x v="293"/>
    <s v="CUST1010"/>
    <s v="Customer 1288"/>
    <x v="0"/>
    <s v="Kolkata"/>
    <x v="7"/>
    <x v="4"/>
    <n v="1"/>
    <n v="1237.31"/>
    <n v="0.05"/>
    <x v="893"/>
    <n v="887.89"/>
    <x v="892"/>
    <x v="1"/>
    <x v="1"/>
    <x v="2"/>
    <x v="10"/>
    <n v="11"/>
    <s v="Q4"/>
    <n v="0.2446317974545702"/>
  </r>
  <r>
    <x v="894"/>
    <x v="293"/>
    <s v="CUST1246"/>
    <s v="Customer 1251"/>
    <x v="2"/>
    <s v="Mumbai"/>
    <x v="2"/>
    <x v="0"/>
    <n v="1"/>
    <n v="55480.82"/>
    <n v="0.1"/>
    <x v="894"/>
    <n v="45198.09"/>
    <x v="893"/>
    <x v="1"/>
    <x v="0"/>
    <x v="2"/>
    <x v="10"/>
    <n v="11"/>
    <s v="Q4"/>
    <n v="9.4820552607367423E-2"/>
  </r>
  <r>
    <x v="895"/>
    <x v="294"/>
    <s v="CUST1091"/>
    <s v="Customer 1238"/>
    <x v="1"/>
    <s v="Chennai"/>
    <x v="0"/>
    <x v="0"/>
    <n v="4"/>
    <n v="14863.67"/>
    <n v="0"/>
    <x v="895"/>
    <n v="43896.56"/>
    <x v="894"/>
    <x v="0"/>
    <x v="2"/>
    <x v="1"/>
    <x v="10"/>
    <n v="11"/>
    <s v="Q4"/>
    <n v="0.26168032524941687"/>
  </r>
  <r>
    <x v="896"/>
    <x v="294"/>
    <s v="CUST1230"/>
    <s v="Customer 1067"/>
    <x v="3"/>
    <s v="Nagpur"/>
    <x v="10"/>
    <x v="0"/>
    <n v="4"/>
    <n v="39225.17"/>
    <n v="0"/>
    <x v="896"/>
    <n v="122975.51"/>
    <x v="895"/>
    <x v="0"/>
    <x v="4"/>
    <x v="0"/>
    <x v="10"/>
    <n v="11"/>
    <s v="Q4"/>
    <n v="0.21622066902450646"/>
  </r>
  <r>
    <x v="897"/>
    <x v="294"/>
    <s v="CUST1178"/>
    <s v="Customer 1003"/>
    <x v="1"/>
    <s v="Chennai"/>
    <x v="6"/>
    <x v="2"/>
    <n v="1"/>
    <n v="1623.5"/>
    <n v="0.1"/>
    <x v="897"/>
    <n v="1296.6400000000001"/>
    <x v="896"/>
    <x v="0"/>
    <x v="2"/>
    <x v="2"/>
    <x v="10"/>
    <n v="11"/>
    <s v="Q4"/>
    <n v="0.11258939876124968"/>
  </r>
  <r>
    <x v="898"/>
    <x v="295"/>
    <s v="CUST1051"/>
    <s v="Customer 1081"/>
    <x v="4"/>
    <s v="Delhi"/>
    <x v="6"/>
    <x v="2"/>
    <n v="1"/>
    <n v="1215.29"/>
    <n v="0.15"/>
    <x v="898"/>
    <n v="883.33"/>
    <x v="897"/>
    <x v="0"/>
    <x v="1"/>
    <x v="0"/>
    <x v="10"/>
    <n v="11"/>
    <s v="Q4"/>
    <n v="0.14488867376573086"/>
  </r>
  <r>
    <x v="899"/>
    <x v="295"/>
    <s v="CUST1094"/>
    <s v="Customer 1298"/>
    <x v="2"/>
    <s v="Mumbai"/>
    <x v="1"/>
    <x v="1"/>
    <n v="2"/>
    <n v="9147.0300000000007"/>
    <n v="0.02"/>
    <x v="899"/>
    <n v="13821.26"/>
    <x v="898"/>
    <x v="1"/>
    <x v="1"/>
    <x v="0"/>
    <x v="10"/>
    <n v="11"/>
    <s v="Q4"/>
    <n v="0.22907623640548008"/>
  </r>
  <r>
    <x v="900"/>
    <x v="295"/>
    <s v="CUST1225"/>
    <s v="Customer 1280"/>
    <x v="2"/>
    <s v="Ahmedabad"/>
    <x v="0"/>
    <x v="0"/>
    <n v="1"/>
    <n v="8323.6"/>
    <n v="0"/>
    <x v="900"/>
    <n v="7244.6"/>
    <x v="899"/>
    <x v="1"/>
    <x v="0"/>
    <x v="2"/>
    <x v="10"/>
    <n v="11"/>
    <s v="Q4"/>
    <n v="0.12963140948627996"/>
  </r>
  <r>
    <x v="901"/>
    <x v="295"/>
    <s v="CUST1067"/>
    <s v="Customer 1062"/>
    <x v="3"/>
    <s v="Nagpur"/>
    <x v="5"/>
    <x v="3"/>
    <n v="1"/>
    <n v="300.85000000000002"/>
    <n v="0.05"/>
    <x v="901"/>
    <n v="256.3"/>
    <x v="900"/>
    <x v="1"/>
    <x v="3"/>
    <x v="2"/>
    <x v="10"/>
    <n v="11"/>
    <s v="Q4"/>
    <n v="0.1032504111122774"/>
  </r>
  <r>
    <x v="902"/>
    <x v="295"/>
    <s v="CUST1129"/>
    <s v="Customer 1049"/>
    <x v="1"/>
    <s v="Hyderabad"/>
    <x v="4"/>
    <x v="1"/>
    <n v="1"/>
    <n v="7127.78"/>
    <n v="0.1"/>
    <x v="902"/>
    <n v="4541.16"/>
    <x v="901"/>
    <x v="0"/>
    <x v="3"/>
    <x v="0"/>
    <x v="10"/>
    <n v="11"/>
    <s v="Q4"/>
    <n v="0.29210288386593919"/>
  </r>
  <r>
    <x v="903"/>
    <x v="296"/>
    <s v="CUST1088"/>
    <s v="Customer 1100"/>
    <x v="2"/>
    <s v="Mumbai"/>
    <x v="3"/>
    <x v="2"/>
    <n v="2"/>
    <n v="1235.6300000000001"/>
    <n v="0.02"/>
    <x v="903"/>
    <n v="1632.41"/>
    <x v="902"/>
    <x v="0"/>
    <x v="1"/>
    <x v="1"/>
    <x v="10"/>
    <n v="11"/>
    <s v="Q4"/>
    <n v="0.32596012106547528"/>
  </r>
  <r>
    <x v="904"/>
    <x v="296"/>
    <s v="CUST1159"/>
    <s v="Customer 1128"/>
    <x v="2"/>
    <s v="Mumbai"/>
    <x v="4"/>
    <x v="1"/>
    <n v="2"/>
    <n v="9535.32"/>
    <n v="0"/>
    <x v="904"/>
    <n v="16016.15"/>
    <x v="903"/>
    <x v="0"/>
    <x v="3"/>
    <x v="2"/>
    <x v="10"/>
    <n v="11"/>
    <s v="Q4"/>
    <n v="0.16016714698615253"/>
  </r>
  <r>
    <x v="905"/>
    <x v="297"/>
    <s v="CUST1015"/>
    <s v="Customer 1255"/>
    <x v="4"/>
    <s v="Lucknow"/>
    <x v="3"/>
    <x v="2"/>
    <n v="3"/>
    <n v="910.73"/>
    <n v="0"/>
    <x v="905"/>
    <n v="2382.2800000000002"/>
    <x v="904"/>
    <x v="0"/>
    <x v="0"/>
    <x v="0"/>
    <x v="10"/>
    <n v="11"/>
    <s v="Q4"/>
    <n v="0.12806942416157002"/>
  </r>
  <r>
    <x v="906"/>
    <x v="297"/>
    <s v="CUST1165"/>
    <s v="Customer 1242"/>
    <x v="4"/>
    <s v="Delhi"/>
    <x v="6"/>
    <x v="2"/>
    <n v="3"/>
    <n v="1807.82"/>
    <n v="0.15"/>
    <x v="906"/>
    <n v="4675.38"/>
    <x v="905"/>
    <x v="0"/>
    <x v="2"/>
    <x v="2"/>
    <x v="10"/>
    <n v="11"/>
    <s v="Q4"/>
    <n v="-1.4195412521638027E-2"/>
  </r>
  <r>
    <x v="907"/>
    <x v="298"/>
    <s v="CUST1104"/>
    <s v="Customer 1245"/>
    <x v="0"/>
    <s v="Patna"/>
    <x v="11"/>
    <x v="4"/>
    <n v="4"/>
    <n v="1369.61"/>
    <n v="0.15"/>
    <x v="907"/>
    <n v="3456.29"/>
    <x v="906"/>
    <x v="1"/>
    <x v="0"/>
    <x v="0"/>
    <x v="10"/>
    <n v="11"/>
    <s v="Q4"/>
    <n v="0.2577764797591412"/>
  </r>
  <r>
    <x v="908"/>
    <x v="298"/>
    <s v="CUST1287"/>
    <s v="Customer 1208"/>
    <x v="4"/>
    <s v="Lucknow"/>
    <x v="10"/>
    <x v="0"/>
    <n v="2"/>
    <n v="34515.040000000001"/>
    <n v="0.1"/>
    <x v="908"/>
    <n v="44391.83"/>
    <x v="907"/>
    <x v="0"/>
    <x v="0"/>
    <x v="2"/>
    <x v="10"/>
    <n v="11"/>
    <s v="Q4"/>
    <n v="0.28546718845746311"/>
  </r>
  <r>
    <x v="909"/>
    <x v="299"/>
    <s v="CUST1002"/>
    <s v="Customer 1293"/>
    <x v="4"/>
    <s v="Lucknow"/>
    <x v="6"/>
    <x v="2"/>
    <n v="3"/>
    <n v="2761.14"/>
    <n v="0.02"/>
    <x v="909"/>
    <n v="5647.31"/>
    <x v="908"/>
    <x v="1"/>
    <x v="3"/>
    <x v="0"/>
    <x v="10"/>
    <n v="11"/>
    <s v="Q4"/>
    <n v="0.30432570601459763"/>
  </r>
  <r>
    <x v="910"/>
    <x v="299"/>
    <s v="CUST1152"/>
    <s v="Customer 1239"/>
    <x v="4"/>
    <s v="Lucknow"/>
    <x v="2"/>
    <x v="0"/>
    <n v="2"/>
    <n v="60739.74"/>
    <n v="0.05"/>
    <x v="910"/>
    <n v="86569.31"/>
    <x v="909"/>
    <x v="1"/>
    <x v="0"/>
    <x v="1"/>
    <x v="10"/>
    <n v="11"/>
    <s v="Q4"/>
    <n v="0.24986848548219234"/>
  </r>
  <r>
    <x v="911"/>
    <x v="299"/>
    <s v="CUST1009"/>
    <s v="Customer 1251"/>
    <x v="1"/>
    <s v="Bengaluru"/>
    <x v="8"/>
    <x v="0"/>
    <n v="2"/>
    <n v="29834.85"/>
    <n v="0.02"/>
    <x v="911"/>
    <n v="38505.78"/>
    <x v="910"/>
    <x v="1"/>
    <x v="4"/>
    <x v="1"/>
    <x v="10"/>
    <n v="11"/>
    <s v="Q4"/>
    <n v="0.34151488012838016"/>
  </r>
  <r>
    <x v="912"/>
    <x v="299"/>
    <s v="CUST1020"/>
    <s v="Customer 1146"/>
    <x v="2"/>
    <s v="Mumbai"/>
    <x v="8"/>
    <x v="0"/>
    <n v="2"/>
    <n v="10679.27"/>
    <n v="0.1"/>
    <x v="912"/>
    <n v="14973.88"/>
    <x v="911"/>
    <x v="1"/>
    <x v="4"/>
    <x v="2"/>
    <x v="10"/>
    <n v="11"/>
    <s v="Q4"/>
    <n v="0.22103097953512232"/>
  </r>
  <r>
    <x v="913"/>
    <x v="299"/>
    <s v="CUST1146"/>
    <s v="Customer 1216"/>
    <x v="2"/>
    <s v="Mumbai"/>
    <x v="5"/>
    <x v="3"/>
    <n v="4"/>
    <n v="133.09"/>
    <n v="0.15"/>
    <x v="913"/>
    <n v="339.67"/>
    <x v="912"/>
    <x v="0"/>
    <x v="2"/>
    <x v="1"/>
    <x v="10"/>
    <n v="11"/>
    <s v="Q4"/>
    <n v="0.24936465492475304"/>
  </r>
  <r>
    <x v="914"/>
    <x v="300"/>
    <s v="CUST1038"/>
    <s v="Customer 1135"/>
    <x v="3"/>
    <s v="Indore"/>
    <x v="2"/>
    <x v="0"/>
    <n v="2"/>
    <n v="73288.83"/>
    <n v="0"/>
    <x v="914"/>
    <n v="123181.88"/>
    <x v="913"/>
    <x v="0"/>
    <x v="1"/>
    <x v="0"/>
    <x v="11"/>
    <n v="12"/>
    <s v="Q4"/>
    <n v="0.15961354547480153"/>
  </r>
  <r>
    <x v="915"/>
    <x v="301"/>
    <s v="CUST1008"/>
    <s v="Customer 1027"/>
    <x v="0"/>
    <s v="Kolkata"/>
    <x v="0"/>
    <x v="0"/>
    <n v="2"/>
    <n v="20467.060000000001"/>
    <n v="0.05"/>
    <x v="915"/>
    <n v="33946.85"/>
    <x v="914"/>
    <x v="0"/>
    <x v="2"/>
    <x v="2"/>
    <x v="11"/>
    <n v="12"/>
    <s v="Q4"/>
    <n v="0.12704780287501791"/>
  </r>
  <r>
    <x v="916"/>
    <x v="301"/>
    <s v="CUST1173"/>
    <s v="Customer 1275"/>
    <x v="0"/>
    <s v="Kolkata"/>
    <x v="7"/>
    <x v="4"/>
    <n v="1"/>
    <n v="1843.4"/>
    <n v="0.05"/>
    <x v="916"/>
    <n v="1428.25"/>
    <x v="915"/>
    <x v="0"/>
    <x v="3"/>
    <x v="1"/>
    <x v="11"/>
    <n v="12"/>
    <s v="Q4"/>
    <n v="0.18443037179582353"/>
  </r>
  <r>
    <x v="917"/>
    <x v="301"/>
    <s v="CUST1116"/>
    <s v="Customer 1143"/>
    <x v="3"/>
    <s v="Bhopal"/>
    <x v="10"/>
    <x v="0"/>
    <n v="2"/>
    <n v="24316.21"/>
    <n v="0.15"/>
    <x v="917"/>
    <n v="30726.82"/>
    <x v="916"/>
    <x v="1"/>
    <x v="4"/>
    <x v="1"/>
    <x v="11"/>
    <n v="12"/>
    <s v="Q4"/>
    <n v="0.25668520348080537"/>
  </r>
  <r>
    <x v="918"/>
    <x v="302"/>
    <s v="CUST1175"/>
    <s v="Customer 1152"/>
    <x v="2"/>
    <s v="Pune"/>
    <x v="3"/>
    <x v="2"/>
    <n v="4"/>
    <n v="1278.22"/>
    <n v="0.05"/>
    <x v="918"/>
    <n v="3273.46"/>
    <x v="917"/>
    <x v="0"/>
    <x v="2"/>
    <x v="0"/>
    <x v="11"/>
    <n v="12"/>
    <s v="Q4"/>
    <n v="0.326065831624544"/>
  </r>
  <r>
    <x v="919"/>
    <x v="303"/>
    <s v="CUST1266"/>
    <s v="Customer 1029"/>
    <x v="0"/>
    <s v="Patna"/>
    <x v="6"/>
    <x v="2"/>
    <n v="2"/>
    <n v="1108.27"/>
    <n v="0.05"/>
    <x v="919"/>
    <n v="1468.4"/>
    <x v="918"/>
    <x v="1"/>
    <x v="1"/>
    <x v="1"/>
    <x v="11"/>
    <n v="12"/>
    <s v="Q4"/>
    <n v="0.30265801083719979"/>
  </r>
  <r>
    <x v="920"/>
    <x v="304"/>
    <s v="CUST1053"/>
    <s v="Customer 1168"/>
    <x v="2"/>
    <s v="Ahmedabad"/>
    <x v="0"/>
    <x v="0"/>
    <n v="3"/>
    <n v="12502.5"/>
    <n v="0"/>
    <x v="920"/>
    <n v="31041.43"/>
    <x v="919"/>
    <x v="1"/>
    <x v="4"/>
    <x v="0"/>
    <x v="11"/>
    <n v="12"/>
    <s v="Q4"/>
    <n v="0.17239405452242884"/>
  </r>
  <r>
    <x v="921"/>
    <x v="305"/>
    <s v="CUST1258"/>
    <s v="Customer 1249"/>
    <x v="3"/>
    <s v="Bhopal"/>
    <x v="8"/>
    <x v="0"/>
    <n v="1"/>
    <n v="15365.7"/>
    <n v="0.15"/>
    <x v="921"/>
    <n v="10965.51"/>
    <x v="920"/>
    <x v="1"/>
    <x v="0"/>
    <x v="2"/>
    <x v="11"/>
    <n v="12"/>
    <s v="Q4"/>
    <n v="0.1604290685521999"/>
  </r>
  <r>
    <x v="922"/>
    <x v="306"/>
    <s v="CUST1051"/>
    <s v="Customer 1153"/>
    <x v="2"/>
    <s v="Ahmedabad"/>
    <x v="4"/>
    <x v="1"/>
    <n v="1"/>
    <n v="5359.02"/>
    <n v="0.02"/>
    <x v="922"/>
    <n v="3933.54"/>
    <x v="921"/>
    <x v="0"/>
    <x v="3"/>
    <x v="1"/>
    <x v="11"/>
    <n v="12"/>
    <s v="Q4"/>
    <n v="0.25101678649768461"/>
  </r>
  <r>
    <x v="923"/>
    <x v="306"/>
    <s v="CUST1280"/>
    <s v="Customer 1081"/>
    <x v="3"/>
    <s v="Bhopal"/>
    <x v="0"/>
    <x v="0"/>
    <n v="2"/>
    <n v="12978.02"/>
    <n v="0.05"/>
    <x v="923"/>
    <n v="22493.45"/>
    <x v="922"/>
    <x v="0"/>
    <x v="1"/>
    <x v="1"/>
    <x v="11"/>
    <n v="12"/>
    <s v="Q4"/>
    <n v="8.7791748316181514E-2"/>
  </r>
  <r>
    <x v="924"/>
    <x v="307"/>
    <s v="CUST1133"/>
    <s v="Customer 1055"/>
    <x v="1"/>
    <s v="Chennai"/>
    <x v="8"/>
    <x v="0"/>
    <n v="1"/>
    <n v="24143.58"/>
    <n v="0"/>
    <x v="924"/>
    <n v="20257.89"/>
    <x v="923"/>
    <x v="1"/>
    <x v="0"/>
    <x v="1"/>
    <x v="11"/>
    <n v="12"/>
    <s v="Q4"/>
    <n v="0.1609409209404736"/>
  </r>
  <r>
    <x v="925"/>
    <x v="307"/>
    <s v="CUST1287"/>
    <s v="Customer 1064"/>
    <x v="1"/>
    <s v="Chennai"/>
    <x v="0"/>
    <x v="0"/>
    <n v="1"/>
    <n v="7907.37"/>
    <n v="0"/>
    <x v="925"/>
    <n v="5011.01"/>
    <x v="924"/>
    <x v="1"/>
    <x v="0"/>
    <x v="0"/>
    <x v="11"/>
    <n v="12"/>
    <s v="Q4"/>
    <n v="0.36628613559249157"/>
  </r>
  <r>
    <x v="926"/>
    <x v="307"/>
    <s v="CUST1075"/>
    <s v="Customer 1290"/>
    <x v="3"/>
    <s v="Nagpur"/>
    <x v="10"/>
    <x v="0"/>
    <n v="1"/>
    <n v="35801.65"/>
    <n v="0"/>
    <x v="926"/>
    <n v="24145.48"/>
    <x v="925"/>
    <x v="1"/>
    <x v="2"/>
    <x v="1"/>
    <x v="11"/>
    <n v="12"/>
    <s v="Q4"/>
    <n v="0.32557633516890983"/>
  </r>
  <r>
    <x v="927"/>
    <x v="308"/>
    <s v="CUST1062"/>
    <s v="Customer 1300"/>
    <x v="1"/>
    <s v="Bengaluru"/>
    <x v="5"/>
    <x v="3"/>
    <n v="1"/>
    <n v="252.81"/>
    <n v="0"/>
    <x v="927"/>
    <n v="197.75"/>
    <x v="926"/>
    <x v="1"/>
    <x v="1"/>
    <x v="2"/>
    <x v="11"/>
    <n v="12"/>
    <s v="Q4"/>
    <n v="0.21779201772081802"/>
  </r>
  <r>
    <x v="928"/>
    <x v="308"/>
    <s v="CUST1067"/>
    <s v="Customer 1075"/>
    <x v="4"/>
    <s v="Lucknow"/>
    <x v="8"/>
    <x v="0"/>
    <n v="1"/>
    <n v="12514.55"/>
    <n v="0.15"/>
    <x v="928"/>
    <n v="8502.4699999999993"/>
    <x v="927"/>
    <x v="1"/>
    <x v="4"/>
    <x v="1"/>
    <x v="11"/>
    <n v="12"/>
    <s v="Q4"/>
    <n v="0.20069810488870837"/>
  </r>
  <r>
    <x v="929"/>
    <x v="308"/>
    <s v="CUST1072"/>
    <s v="Customer 1064"/>
    <x v="2"/>
    <s v="Mumbai"/>
    <x v="11"/>
    <x v="4"/>
    <n v="2"/>
    <n v="883.42"/>
    <n v="0.15"/>
    <x v="929"/>
    <n v="1219.01"/>
    <x v="928"/>
    <x v="1"/>
    <x v="0"/>
    <x v="0"/>
    <x v="11"/>
    <n v="12"/>
    <s v="Q4"/>
    <n v="0.1883061106265107"/>
  </r>
  <r>
    <x v="930"/>
    <x v="308"/>
    <s v="CUST1161"/>
    <s v="Customer 1177"/>
    <x v="2"/>
    <s v="Ahmedabad"/>
    <x v="9"/>
    <x v="0"/>
    <n v="1"/>
    <n v="2887.94"/>
    <n v="0.1"/>
    <x v="930"/>
    <n v="2105.08"/>
    <x v="929"/>
    <x v="1"/>
    <x v="1"/>
    <x v="1"/>
    <x v="11"/>
    <n v="12"/>
    <s v="Q4"/>
    <n v="0.19008906757978569"/>
  </r>
  <r>
    <x v="931"/>
    <x v="308"/>
    <s v="CUST1173"/>
    <s v="Customer 1069"/>
    <x v="1"/>
    <s v="Hyderabad"/>
    <x v="11"/>
    <x v="4"/>
    <n v="4"/>
    <n v="1582.34"/>
    <n v="0"/>
    <x v="931"/>
    <n v="4033.89"/>
    <x v="930"/>
    <x v="0"/>
    <x v="4"/>
    <x v="0"/>
    <x v="11"/>
    <n v="12"/>
    <s v="Q4"/>
    <n v="0.36267015938420311"/>
  </r>
  <r>
    <x v="932"/>
    <x v="309"/>
    <s v="CUST1249"/>
    <s v="Customer 1192"/>
    <x v="4"/>
    <s v="Jaipur"/>
    <x v="9"/>
    <x v="0"/>
    <n v="2"/>
    <n v="3117.12"/>
    <n v="0.15"/>
    <x v="932"/>
    <n v="3949.01"/>
    <x v="931"/>
    <x v="0"/>
    <x v="0"/>
    <x v="1"/>
    <x v="11"/>
    <n v="12"/>
    <s v="Q4"/>
    <n v="0.25477722632145078"/>
  </r>
  <r>
    <x v="933"/>
    <x v="309"/>
    <s v="CUST1291"/>
    <s v="Customer 1208"/>
    <x v="4"/>
    <s v="Lucknow"/>
    <x v="2"/>
    <x v="0"/>
    <n v="1"/>
    <n v="62952.25"/>
    <n v="0.05"/>
    <x v="933"/>
    <n v="42391.199999999997"/>
    <x v="932"/>
    <x v="0"/>
    <x v="4"/>
    <x v="1"/>
    <x v="11"/>
    <n v="12"/>
    <s v="Q4"/>
    <n v="0.29117205621503611"/>
  </r>
  <r>
    <x v="934"/>
    <x v="309"/>
    <s v="CUST1019"/>
    <s v="Customer 1159"/>
    <x v="3"/>
    <s v="Indore"/>
    <x v="0"/>
    <x v="0"/>
    <n v="4"/>
    <n v="20553.39"/>
    <n v="0.02"/>
    <x v="934"/>
    <n v="55806.52"/>
    <x v="933"/>
    <x v="0"/>
    <x v="2"/>
    <x v="0"/>
    <x v="11"/>
    <n v="12"/>
    <s v="Q4"/>
    <n v="0.30734750175904496"/>
  </r>
  <r>
    <x v="935"/>
    <x v="310"/>
    <s v="CUST1046"/>
    <s v="Customer 1034"/>
    <x v="1"/>
    <s v="Chennai"/>
    <x v="11"/>
    <x v="4"/>
    <n v="1"/>
    <n v="650.79"/>
    <n v="0.15"/>
    <x v="935"/>
    <n v="481.46"/>
    <x v="934"/>
    <x v="1"/>
    <x v="2"/>
    <x v="0"/>
    <x v="11"/>
    <n v="12"/>
    <s v="Q4"/>
    <n v="0.1296346511922194"/>
  </r>
  <r>
    <x v="936"/>
    <x v="310"/>
    <s v="CUST1087"/>
    <s v="Customer 1090"/>
    <x v="2"/>
    <s v="Pune"/>
    <x v="8"/>
    <x v="0"/>
    <n v="2"/>
    <n v="25452.86"/>
    <n v="0.15"/>
    <x v="936"/>
    <n v="33207.32"/>
    <x v="935"/>
    <x v="1"/>
    <x v="4"/>
    <x v="1"/>
    <x v="11"/>
    <n v="12"/>
    <s v="Q4"/>
    <n v="0.23255309816116809"/>
  </r>
  <r>
    <x v="937"/>
    <x v="310"/>
    <s v="CUST1230"/>
    <s v="Customer 1255"/>
    <x v="4"/>
    <s v="Lucknow"/>
    <x v="6"/>
    <x v="2"/>
    <n v="1"/>
    <n v="2620.71"/>
    <n v="0.15"/>
    <x v="937"/>
    <n v="2135.5700000000002"/>
    <x v="936"/>
    <x v="0"/>
    <x v="2"/>
    <x v="0"/>
    <x v="11"/>
    <n v="12"/>
    <s v="Q4"/>
    <n v="4.1313521278506016E-2"/>
  </r>
  <r>
    <x v="938"/>
    <x v="310"/>
    <s v="CUST1095"/>
    <s v="Customer 1245"/>
    <x v="0"/>
    <s v="Patna"/>
    <x v="5"/>
    <x v="3"/>
    <n v="2"/>
    <n v="248.79"/>
    <n v="0.05"/>
    <x v="938"/>
    <n v="308.60000000000002"/>
    <x v="937"/>
    <x v="1"/>
    <x v="2"/>
    <x v="2"/>
    <x v="11"/>
    <n v="12"/>
    <s v="Q4"/>
    <n v="0.34715464353712716"/>
  </r>
  <r>
    <x v="939"/>
    <x v="311"/>
    <s v="CUST1213"/>
    <s v="Customer 1139"/>
    <x v="0"/>
    <s v="Patna"/>
    <x v="5"/>
    <x v="3"/>
    <n v="4"/>
    <n v="276.91000000000003"/>
    <n v="0.1"/>
    <x v="939"/>
    <n v="936.14"/>
    <x v="938"/>
    <x v="1"/>
    <x v="3"/>
    <x v="0"/>
    <x v="11"/>
    <n v="12"/>
    <s v="Q4"/>
    <n v="6.0930101917984113E-2"/>
  </r>
  <r>
    <x v="940"/>
    <x v="311"/>
    <s v="CUST1088"/>
    <s v="Customer 1168"/>
    <x v="3"/>
    <s v="Indore"/>
    <x v="10"/>
    <x v="0"/>
    <n v="1"/>
    <n v="39296.959999999999"/>
    <n v="0.15"/>
    <x v="940"/>
    <n v="29183.98"/>
    <x v="939"/>
    <x v="1"/>
    <x v="2"/>
    <x v="2"/>
    <x v="11"/>
    <n v="12"/>
    <s v="Q4"/>
    <n v="0.12629144834416189"/>
  </r>
  <r>
    <x v="941"/>
    <x v="312"/>
    <s v="CUST1171"/>
    <s v="Customer 1022"/>
    <x v="0"/>
    <s v="Kolkata"/>
    <x v="0"/>
    <x v="0"/>
    <n v="2"/>
    <n v="21887.1"/>
    <n v="0.1"/>
    <x v="941"/>
    <n v="29710.35"/>
    <x v="940"/>
    <x v="1"/>
    <x v="1"/>
    <x v="2"/>
    <x v="11"/>
    <n v="12"/>
    <s v="Q4"/>
    <n v="0.2458685709847353"/>
  </r>
  <r>
    <x v="942"/>
    <x v="312"/>
    <s v="CUST1190"/>
    <s v="Customer 1191"/>
    <x v="1"/>
    <s v="Chennai"/>
    <x v="6"/>
    <x v="2"/>
    <n v="2"/>
    <n v="2826.53"/>
    <n v="0"/>
    <x v="942"/>
    <n v="4598.74"/>
    <x v="941"/>
    <x v="0"/>
    <x v="0"/>
    <x v="0"/>
    <x v="11"/>
    <n v="12"/>
    <s v="Q4"/>
    <n v="0.1865043003258412"/>
  </r>
  <r>
    <x v="943"/>
    <x v="313"/>
    <s v="CUST1181"/>
    <s v="Customer 1095"/>
    <x v="2"/>
    <s v="Pune"/>
    <x v="7"/>
    <x v="4"/>
    <n v="2"/>
    <n v="3185.43"/>
    <n v="0"/>
    <x v="943"/>
    <n v="5528.62"/>
    <x v="942"/>
    <x v="1"/>
    <x v="4"/>
    <x v="0"/>
    <x v="11"/>
    <n v="12"/>
    <s v="Q4"/>
    <n v="0.13220193192127908"/>
  </r>
  <r>
    <x v="944"/>
    <x v="313"/>
    <s v="CUST1068"/>
    <s v="Customer 1028"/>
    <x v="1"/>
    <s v="Bengaluru"/>
    <x v="2"/>
    <x v="0"/>
    <n v="4"/>
    <n v="64618.83"/>
    <n v="0.05"/>
    <x v="944"/>
    <n v="167524.07"/>
    <x v="943"/>
    <x v="0"/>
    <x v="2"/>
    <x v="2"/>
    <x v="11"/>
    <n v="12"/>
    <s v="Q4"/>
    <n v="0.31776415176365208"/>
  </r>
  <r>
    <x v="945"/>
    <x v="313"/>
    <s v="CUST1271"/>
    <s v="Customer 1111"/>
    <x v="4"/>
    <s v="Lucknow"/>
    <x v="3"/>
    <x v="2"/>
    <n v="4"/>
    <n v="1297.49"/>
    <n v="0.05"/>
    <x v="945"/>
    <n v="3690.93"/>
    <x v="944"/>
    <x v="1"/>
    <x v="4"/>
    <x v="1"/>
    <x v="11"/>
    <n v="12"/>
    <s v="Q4"/>
    <n v="0.25140250605420184"/>
  </r>
  <r>
    <x v="946"/>
    <x v="313"/>
    <s v="CUST1063"/>
    <s v="Customer 1243"/>
    <x v="3"/>
    <s v="Bhopal"/>
    <x v="0"/>
    <x v="0"/>
    <n v="2"/>
    <n v="17893.650000000001"/>
    <n v="0.05"/>
    <x v="946"/>
    <n v="25924.71"/>
    <x v="945"/>
    <x v="1"/>
    <x v="2"/>
    <x v="2"/>
    <x v="11"/>
    <n v="12"/>
    <s v="Q4"/>
    <n v="0.23746210431046832"/>
  </r>
  <r>
    <x v="947"/>
    <x v="313"/>
    <s v="CUST1008"/>
    <s v="Customer 1247"/>
    <x v="1"/>
    <s v="Hyderabad"/>
    <x v="10"/>
    <x v="0"/>
    <n v="4"/>
    <n v="33123.160000000003"/>
    <n v="0.1"/>
    <x v="947"/>
    <n v="111074.56"/>
    <x v="946"/>
    <x v="1"/>
    <x v="1"/>
    <x v="2"/>
    <x v="11"/>
    <n v="12"/>
    <s v="Q4"/>
    <n v="6.8505438205458444E-2"/>
  </r>
  <r>
    <x v="948"/>
    <x v="314"/>
    <s v="CUST1110"/>
    <s v="Customer 1138"/>
    <x v="0"/>
    <s v="Kolkata"/>
    <x v="2"/>
    <x v="0"/>
    <n v="1"/>
    <n v="60069.14"/>
    <n v="0.05"/>
    <x v="948"/>
    <n v="46876.3"/>
    <x v="947"/>
    <x v="1"/>
    <x v="1"/>
    <x v="2"/>
    <x v="11"/>
    <n v="12"/>
    <s v="Q4"/>
    <n v="0.17855530679736051"/>
  </r>
  <r>
    <x v="949"/>
    <x v="314"/>
    <s v="CUST1263"/>
    <s v="Customer 1108"/>
    <x v="1"/>
    <s v="Chennai"/>
    <x v="10"/>
    <x v="0"/>
    <n v="2"/>
    <n v="32796.49"/>
    <n v="0.1"/>
    <x v="949"/>
    <n v="54706.2"/>
    <x v="948"/>
    <x v="0"/>
    <x v="3"/>
    <x v="2"/>
    <x v="11"/>
    <n v="12"/>
    <s v="Q4"/>
    <n v="7.3305272515621578E-2"/>
  </r>
  <r>
    <x v="950"/>
    <x v="314"/>
    <s v="CUST1126"/>
    <s v="Customer 1230"/>
    <x v="0"/>
    <s v="Bhubaneswar"/>
    <x v="9"/>
    <x v="0"/>
    <n v="2"/>
    <n v="3199.22"/>
    <n v="0"/>
    <x v="950"/>
    <n v="4486.29"/>
    <x v="949"/>
    <x v="0"/>
    <x v="0"/>
    <x v="1"/>
    <x v="11"/>
    <n v="12"/>
    <s v="Q4"/>
    <n v="0.29884628128106228"/>
  </r>
  <r>
    <x v="951"/>
    <x v="314"/>
    <s v="CUST1165"/>
    <s v="Customer 1139"/>
    <x v="2"/>
    <s v="Ahmedabad"/>
    <x v="11"/>
    <x v="4"/>
    <n v="1"/>
    <n v="892.66"/>
    <n v="0.05"/>
    <x v="951"/>
    <n v="640.99"/>
    <x v="950"/>
    <x v="0"/>
    <x v="1"/>
    <x v="0"/>
    <x v="11"/>
    <n v="12"/>
    <s v="Q4"/>
    <n v="0.24414230628633421"/>
  </r>
  <r>
    <x v="952"/>
    <x v="315"/>
    <s v="CUST1138"/>
    <s v="Customer 1229"/>
    <x v="1"/>
    <s v="Bengaluru"/>
    <x v="3"/>
    <x v="2"/>
    <n v="2"/>
    <n v="409.12"/>
    <n v="0.1"/>
    <x v="952"/>
    <n v="603.54"/>
    <x v="951"/>
    <x v="0"/>
    <x v="3"/>
    <x v="1"/>
    <x v="11"/>
    <n v="12"/>
    <s v="Q4"/>
    <n v="0.18044050949186605"/>
  </r>
  <r>
    <x v="953"/>
    <x v="316"/>
    <s v="CUST1218"/>
    <s v="Customer 1273"/>
    <x v="2"/>
    <s v="Pune"/>
    <x v="5"/>
    <x v="3"/>
    <n v="1"/>
    <n v="153.72"/>
    <n v="0.02"/>
    <x v="953"/>
    <n v="110.07"/>
    <x v="952"/>
    <x v="0"/>
    <x v="1"/>
    <x v="2"/>
    <x v="11"/>
    <n v="12"/>
    <s v="Q4"/>
    <n v="0.26936608031861931"/>
  </r>
  <r>
    <x v="954"/>
    <x v="316"/>
    <s v="CUST1062"/>
    <s v="Customer 1046"/>
    <x v="0"/>
    <s v="Bhubaneswar"/>
    <x v="11"/>
    <x v="4"/>
    <n v="4"/>
    <n v="1035.51"/>
    <n v="0"/>
    <x v="954"/>
    <n v="2953.37"/>
    <x v="953"/>
    <x v="1"/>
    <x v="1"/>
    <x v="2"/>
    <x v="11"/>
    <n v="12"/>
    <s v="Q4"/>
    <n v="0.28697694855674982"/>
  </r>
  <r>
    <x v="955"/>
    <x v="316"/>
    <s v="CUST1048"/>
    <s v="Customer 1233"/>
    <x v="3"/>
    <s v="Bhopal"/>
    <x v="11"/>
    <x v="4"/>
    <n v="4"/>
    <n v="2140.5300000000002"/>
    <n v="0.05"/>
    <x v="955"/>
    <n v="6813.45"/>
    <x v="954"/>
    <x v="1"/>
    <x v="4"/>
    <x v="2"/>
    <x v="11"/>
    <n v="12"/>
    <s v="Q4"/>
    <n v="0.16235042740296604"/>
  </r>
  <r>
    <x v="956"/>
    <x v="317"/>
    <s v="CUST1193"/>
    <s v="Customer 1237"/>
    <x v="4"/>
    <s v="Delhi"/>
    <x v="1"/>
    <x v="1"/>
    <n v="4"/>
    <n v="9666.98"/>
    <n v="0"/>
    <x v="956"/>
    <n v="26779.16"/>
    <x v="955"/>
    <x v="1"/>
    <x v="2"/>
    <x v="0"/>
    <x v="11"/>
    <n v="12"/>
    <s v="Q4"/>
    <n v="0.30745796515561219"/>
  </r>
  <r>
    <x v="957"/>
    <x v="317"/>
    <s v="CUST1090"/>
    <s v="Customer 1295"/>
    <x v="2"/>
    <s v="Mumbai"/>
    <x v="11"/>
    <x v="4"/>
    <n v="1"/>
    <n v="1952.03"/>
    <n v="0.05"/>
    <x v="957"/>
    <n v="1638.57"/>
    <x v="956"/>
    <x v="1"/>
    <x v="3"/>
    <x v="0"/>
    <x v="11"/>
    <n v="12"/>
    <s v="Q4"/>
    <n v="0.11640234465577023"/>
  </r>
  <r>
    <x v="958"/>
    <x v="317"/>
    <s v="CUST1094"/>
    <s v="Customer 1106"/>
    <x v="4"/>
    <s v="Lucknow"/>
    <x v="3"/>
    <x v="2"/>
    <n v="3"/>
    <n v="1180.03"/>
    <n v="0.02"/>
    <x v="958"/>
    <n v="2423.5500000000002"/>
    <x v="957"/>
    <x v="1"/>
    <x v="2"/>
    <x v="0"/>
    <x v="11"/>
    <n v="12"/>
    <s v="Q4"/>
    <n v="0.3014276696384563"/>
  </r>
  <r>
    <x v="959"/>
    <x v="317"/>
    <s v="CUST1023"/>
    <s v="Customer 1063"/>
    <x v="1"/>
    <s v="Bengaluru"/>
    <x v="10"/>
    <x v="0"/>
    <n v="4"/>
    <n v="48214.18"/>
    <n v="0.05"/>
    <x v="959"/>
    <n v="150865.32999999999"/>
    <x v="958"/>
    <x v="1"/>
    <x v="0"/>
    <x v="0"/>
    <x v="11"/>
    <n v="12"/>
    <s v="Q4"/>
    <n v="0.17656167753229177"/>
  </r>
  <r>
    <x v="960"/>
    <x v="317"/>
    <s v="CUST1182"/>
    <s v="Customer 1037"/>
    <x v="4"/>
    <s v="Delhi"/>
    <x v="11"/>
    <x v="4"/>
    <n v="4"/>
    <n v="1859.52"/>
    <n v="0"/>
    <x v="960"/>
    <n v="6284.81"/>
    <x v="959"/>
    <x v="1"/>
    <x v="2"/>
    <x v="2"/>
    <x v="11"/>
    <n v="12"/>
    <s v="Q4"/>
    <n v="0.15504942135604888"/>
  </r>
  <r>
    <x v="961"/>
    <x v="318"/>
    <s v="CUST1127"/>
    <s v="Customer 1075"/>
    <x v="0"/>
    <s v="Patna"/>
    <x v="1"/>
    <x v="1"/>
    <n v="4"/>
    <n v="7256.91"/>
    <n v="0.02"/>
    <x v="961"/>
    <n v="19007.16"/>
    <x v="960"/>
    <x v="1"/>
    <x v="4"/>
    <x v="0"/>
    <x v="11"/>
    <n v="12"/>
    <s v="Q4"/>
    <n v="0.33184167519419389"/>
  </r>
  <r>
    <x v="962"/>
    <x v="318"/>
    <s v="CUST1154"/>
    <s v="Customer 1201"/>
    <x v="3"/>
    <s v="Indore"/>
    <x v="8"/>
    <x v="0"/>
    <n v="1"/>
    <n v="21297.69"/>
    <n v="0"/>
    <x v="962"/>
    <n v="17187.060000000001"/>
    <x v="961"/>
    <x v="0"/>
    <x v="1"/>
    <x v="2"/>
    <x v="11"/>
    <n v="12"/>
    <s v="Q4"/>
    <n v="0.1930082558249275"/>
  </r>
  <r>
    <x v="963"/>
    <x v="319"/>
    <s v="CUST1225"/>
    <s v="Customer 1152"/>
    <x v="3"/>
    <s v="Bhopal"/>
    <x v="11"/>
    <x v="4"/>
    <n v="3"/>
    <n v="540.71"/>
    <n v="0.02"/>
    <x v="963"/>
    <n v="1402.79"/>
    <x v="962"/>
    <x v="1"/>
    <x v="2"/>
    <x v="0"/>
    <x v="11"/>
    <n v="12"/>
    <s v="Q4"/>
    <n v="0.11757009228214306"/>
  </r>
  <r>
    <x v="964"/>
    <x v="319"/>
    <s v="CUST1211"/>
    <s v="Customer 1192"/>
    <x v="4"/>
    <s v="Delhi"/>
    <x v="6"/>
    <x v="2"/>
    <n v="2"/>
    <n v="2324.88"/>
    <n v="0.02"/>
    <x v="964"/>
    <n v="3799.83"/>
    <x v="963"/>
    <x v="0"/>
    <x v="3"/>
    <x v="2"/>
    <x v="11"/>
    <n v="12"/>
    <s v="Q4"/>
    <n v="0.16611144760751059"/>
  </r>
  <r>
    <x v="965"/>
    <x v="319"/>
    <s v="CUST1146"/>
    <s v="Customer 1256"/>
    <x v="0"/>
    <s v="Kolkata"/>
    <x v="6"/>
    <x v="2"/>
    <n v="3"/>
    <n v="1172.5"/>
    <n v="0.1"/>
    <x v="965"/>
    <n v="2972.69"/>
    <x v="964"/>
    <x v="0"/>
    <x v="1"/>
    <x v="0"/>
    <x v="11"/>
    <n v="12"/>
    <s v="Q4"/>
    <n v="6.0983969043670538E-2"/>
  </r>
  <r>
    <x v="966"/>
    <x v="320"/>
    <s v="CUST1281"/>
    <s v="Customer 1300"/>
    <x v="1"/>
    <s v="Bengaluru"/>
    <x v="10"/>
    <x v="0"/>
    <n v="2"/>
    <n v="36457.49"/>
    <n v="0.05"/>
    <x v="966"/>
    <n v="50361.19"/>
    <x v="965"/>
    <x v="0"/>
    <x v="3"/>
    <x v="0"/>
    <x v="11"/>
    <n v="12"/>
    <s v="Q4"/>
    <n v="0.27296448942770118"/>
  </r>
  <r>
    <x v="967"/>
    <x v="320"/>
    <s v="CUST1191"/>
    <s v="Customer 1155"/>
    <x v="0"/>
    <s v="Patna"/>
    <x v="0"/>
    <x v="0"/>
    <n v="2"/>
    <n v="11344.14"/>
    <n v="0"/>
    <x v="967"/>
    <n v="19553.29"/>
    <x v="966"/>
    <x v="0"/>
    <x v="4"/>
    <x v="2"/>
    <x v="11"/>
    <n v="12"/>
    <s v="Q4"/>
    <n v="0.13817662687519724"/>
  </r>
  <r>
    <x v="968"/>
    <x v="321"/>
    <s v="CUST1300"/>
    <s v="Customer 1287"/>
    <x v="3"/>
    <s v="Bhopal"/>
    <x v="11"/>
    <x v="4"/>
    <n v="3"/>
    <n v="805.06"/>
    <n v="0.02"/>
    <x v="968"/>
    <n v="1522.16"/>
    <x v="967"/>
    <x v="1"/>
    <x v="3"/>
    <x v="2"/>
    <x v="11"/>
    <n v="12"/>
    <s v="Q4"/>
    <n v="0.35689177313594267"/>
  </r>
  <r>
    <x v="969"/>
    <x v="321"/>
    <s v="CUST1138"/>
    <s v="Customer 1168"/>
    <x v="3"/>
    <s v="Bhopal"/>
    <x v="0"/>
    <x v="0"/>
    <n v="1"/>
    <n v="6000.19"/>
    <n v="0.1"/>
    <x v="969"/>
    <n v="4535.26"/>
    <x v="968"/>
    <x v="1"/>
    <x v="3"/>
    <x v="0"/>
    <x v="11"/>
    <n v="12"/>
    <s v="Q4"/>
    <n v="0.16016347633500427"/>
  </r>
  <r>
    <x v="970"/>
    <x v="322"/>
    <s v="CUST1075"/>
    <s v="Customer 1072"/>
    <x v="1"/>
    <s v="Hyderabad"/>
    <x v="1"/>
    <x v="1"/>
    <n v="1"/>
    <n v="8789.2000000000007"/>
    <n v="0.1"/>
    <x v="970"/>
    <n v="6379.62"/>
    <x v="969"/>
    <x v="1"/>
    <x v="4"/>
    <x v="0"/>
    <x v="11"/>
    <n v="12"/>
    <s v="Q4"/>
    <n v="0.19350263201808282"/>
  </r>
  <r>
    <x v="971"/>
    <x v="322"/>
    <s v="CUST1235"/>
    <s v="Customer 1196"/>
    <x v="4"/>
    <s v="Jaipur"/>
    <x v="8"/>
    <x v="0"/>
    <n v="2"/>
    <n v="27906.560000000001"/>
    <n v="0.05"/>
    <x v="971"/>
    <n v="43967.44"/>
    <x v="970"/>
    <x v="0"/>
    <x v="3"/>
    <x v="2"/>
    <x v="11"/>
    <n v="12"/>
    <s v="Q4"/>
    <n v="0.17077706315399174"/>
  </r>
  <r>
    <x v="972"/>
    <x v="323"/>
    <s v="CUST1092"/>
    <s v="Customer 1280"/>
    <x v="1"/>
    <s v="Bengaluru"/>
    <x v="7"/>
    <x v="4"/>
    <n v="2"/>
    <n v="1724.61"/>
    <n v="0.15"/>
    <x v="972"/>
    <n v="3005.2"/>
    <x v="971"/>
    <x v="1"/>
    <x v="1"/>
    <x v="0"/>
    <x v="11"/>
    <n v="12"/>
    <s v="Q4"/>
    <n v="-2.5021829294913773E-2"/>
  </r>
  <r>
    <x v="973"/>
    <x v="323"/>
    <s v="CUST1062"/>
    <s v="Customer 1254"/>
    <x v="3"/>
    <s v="Indore"/>
    <x v="7"/>
    <x v="4"/>
    <n v="2"/>
    <n v="1140.04"/>
    <n v="0.15"/>
    <x v="973"/>
    <n v="1925.98"/>
    <x v="972"/>
    <x v="0"/>
    <x v="3"/>
    <x v="1"/>
    <x v="11"/>
    <n v="12"/>
    <s v="Q4"/>
    <n v="6.2381647721702523E-3"/>
  </r>
  <r>
    <x v="974"/>
    <x v="323"/>
    <s v="CUST1201"/>
    <s v="Customer 1246"/>
    <x v="4"/>
    <s v="Jaipur"/>
    <x v="9"/>
    <x v="0"/>
    <n v="1"/>
    <n v="4684.71"/>
    <n v="0.02"/>
    <x v="974"/>
    <n v="3676.11"/>
    <x v="973"/>
    <x v="0"/>
    <x v="1"/>
    <x v="1"/>
    <x v="11"/>
    <n v="12"/>
    <s v="Q4"/>
    <n v="0.19928251238286915"/>
  </r>
  <r>
    <x v="975"/>
    <x v="323"/>
    <s v="CUST1053"/>
    <s v="Customer 1242"/>
    <x v="1"/>
    <s v="Bengaluru"/>
    <x v="7"/>
    <x v="4"/>
    <n v="4"/>
    <n v="2955.82"/>
    <n v="0.1"/>
    <x v="975"/>
    <n v="9818.48"/>
    <x v="974"/>
    <x v="0"/>
    <x v="4"/>
    <x v="1"/>
    <x v="11"/>
    <n v="12"/>
    <s v="Q4"/>
    <n v="7.729291087731828E-2"/>
  </r>
  <r>
    <x v="976"/>
    <x v="323"/>
    <s v="CUST1004"/>
    <s v="Customer 1106"/>
    <x v="1"/>
    <s v="Bengaluru"/>
    <x v="2"/>
    <x v="0"/>
    <n v="4"/>
    <n v="70837.83"/>
    <n v="0.05"/>
    <x v="976"/>
    <n v="211207.59"/>
    <x v="975"/>
    <x v="1"/>
    <x v="0"/>
    <x v="1"/>
    <x v="11"/>
    <n v="12"/>
    <s v="Q4"/>
    <n v="0.21537763702303725"/>
  </r>
  <r>
    <x v="977"/>
    <x v="323"/>
    <s v="CUST1249"/>
    <s v="Customer 1126"/>
    <x v="3"/>
    <s v="Nagpur"/>
    <x v="7"/>
    <x v="4"/>
    <n v="1"/>
    <n v="2743.18"/>
    <n v="0.05"/>
    <x v="977"/>
    <n v="2152.79"/>
    <x v="976"/>
    <x v="1"/>
    <x v="0"/>
    <x v="2"/>
    <x v="11"/>
    <n v="12"/>
    <s v="Q4"/>
    <n v="0.17391654707177998"/>
  </r>
  <r>
    <x v="978"/>
    <x v="323"/>
    <s v="CUST1145"/>
    <s v="Customer 1275"/>
    <x v="1"/>
    <s v="Hyderabad"/>
    <x v="8"/>
    <x v="0"/>
    <n v="3"/>
    <n v="19657.689999999999"/>
    <n v="0.1"/>
    <x v="978"/>
    <n v="40040.19"/>
    <x v="977"/>
    <x v="1"/>
    <x v="1"/>
    <x v="0"/>
    <x v="11"/>
    <n v="12"/>
    <s v="Q4"/>
    <n v="0.24560307756309094"/>
  </r>
  <r>
    <x v="979"/>
    <x v="323"/>
    <s v="CUST1196"/>
    <s v="Customer 1297"/>
    <x v="1"/>
    <s v="Hyderabad"/>
    <x v="3"/>
    <x v="2"/>
    <n v="3"/>
    <n v="883.69"/>
    <n v="0"/>
    <x v="979"/>
    <n v="1765.26"/>
    <x v="978"/>
    <x v="1"/>
    <x v="1"/>
    <x v="2"/>
    <x v="11"/>
    <n v="12"/>
    <s v="Q4"/>
    <n v="0.33413301044483923"/>
  </r>
  <r>
    <x v="980"/>
    <x v="324"/>
    <s v="CUST1034"/>
    <s v="Customer 1045"/>
    <x v="0"/>
    <s v="Kolkata"/>
    <x v="2"/>
    <x v="0"/>
    <n v="1"/>
    <n v="61548.42"/>
    <n v="0.02"/>
    <x v="980"/>
    <n v="41059.24"/>
    <x v="979"/>
    <x v="0"/>
    <x v="3"/>
    <x v="1"/>
    <x v="11"/>
    <n v="12"/>
    <s v="Q4"/>
    <n v="0.31928090461383896"/>
  </r>
  <r>
    <x v="981"/>
    <x v="324"/>
    <s v="CUST1010"/>
    <s v="Customer 1211"/>
    <x v="1"/>
    <s v="Hyderabad"/>
    <x v="6"/>
    <x v="2"/>
    <n v="3"/>
    <n v="913.07"/>
    <n v="0.02"/>
    <x v="981"/>
    <n v="2342.6799999999998"/>
    <x v="980"/>
    <x v="1"/>
    <x v="3"/>
    <x v="2"/>
    <x v="11"/>
    <n v="12"/>
    <s v="Q4"/>
    <n v="0.12730821813196844"/>
  </r>
  <r>
    <x v="982"/>
    <x v="325"/>
    <s v="CUST1200"/>
    <s v="Customer 1161"/>
    <x v="1"/>
    <s v="Hyderabad"/>
    <x v="1"/>
    <x v="1"/>
    <n v="4"/>
    <n v="9926.16"/>
    <n v="0.1"/>
    <x v="982"/>
    <n v="26062.59"/>
    <x v="981"/>
    <x v="1"/>
    <x v="3"/>
    <x v="2"/>
    <x v="11"/>
    <n v="12"/>
    <s v="Q4"/>
    <n v="0.27065375503229683"/>
  </r>
  <r>
    <x v="983"/>
    <x v="325"/>
    <s v="CUST1067"/>
    <s v="Customer 1010"/>
    <x v="3"/>
    <s v="Nagpur"/>
    <x v="2"/>
    <x v="0"/>
    <n v="3"/>
    <n v="59798.98"/>
    <n v="0.1"/>
    <x v="983"/>
    <n v="138266.9"/>
    <x v="982"/>
    <x v="1"/>
    <x v="0"/>
    <x v="2"/>
    <x v="11"/>
    <n v="12"/>
    <s v="Q4"/>
    <n v="0.14363151855986644"/>
  </r>
  <r>
    <x v="984"/>
    <x v="325"/>
    <s v="CUST1090"/>
    <s v="Customer 1220"/>
    <x v="4"/>
    <s v="Jaipur"/>
    <x v="8"/>
    <x v="0"/>
    <n v="1"/>
    <n v="23206.78"/>
    <n v="0.15"/>
    <x v="984"/>
    <n v="18412.55"/>
    <x v="983"/>
    <x v="0"/>
    <x v="2"/>
    <x v="1"/>
    <x v="11"/>
    <n v="12"/>
    <s v="Q4"/>
    <n v="6.6573353827685228E-2"/>
  </r>
  <r>
    <x v="985"/>
    <x v="326"/>
    <s v="CUST1062"/>
    <s v="Customer 1240"/>
    <x v="4"/>
    <s v="Jaipur"/>
    <x v="3"/>
    <x v="2"/>
    <n v="4"/>
    <n v="510.4"/>
    <n v="0.05"/>
    <x v="985"/>
    <n v="1567.95"/>
    <x v="984"/>
    <x v="0"/>
    <x v="0"/>
    <x v="0"/>
    <x v="11"/>
    <n v="12"/>
    <s v="Q4"/>
    <n v="0.19157832865863719"/>
  </r>
  <r>
    <x v="986"/>
    <x v="326"/>
    <s v="CUST1027"/>
    <s v="Customer 1287"/>
    <x v="1"/>
    <s v="Bengaluru"/>
    <x v="7"/>
    <x v="4"/>
    <n v="1"/>
    <n v="2558.84"/>
    <n v="0.1"/>
    <x v="986"/>
    <n v="1723.81"/>
    <x v="985"/>
    <x v="0"/>
    <x v="1"/>
    <x v="1"/>
    <x v="11"/>
    <n v="12"/>
    <s v="Q4"/>
    <n v="0.25148070309514708"/>
  </r>
  <r>
    <x v="987"/>
    <x v="326"/>
    <s v="CUST1093"/>
    <s v="Customer 1063"/>
    <x v="1"/>
    <s v="Hyderabad"/>
    <x v="6"/>
    <x v="2"/>
    <n v="1"/>
    <n v="1375.6"/>
    <n v="0.1"/>
    <x v="987"/>
    <n v="859.83"/>
    <x v="986"/>
    <x v="0"/>
    <x v="0"/>
    <x v="0"/>
    <x v="11"/>
    <n v="12"/>
    <s v="Q4"/>
    <n v="0.30549093728797128"/>
  </r>
  <r>
    <x v="988"/>
    <x v="327"/>
    <s v="CUST1158"/>
    <s v="Customer 1039"/>
    <x v="3"/>
    <s v="Indore"/>
    <x v="6"/>
    <x v="2"/>
    <n v="4"/>
    <n v="2110.2199999999998"/>
    <n v="0.02"/>
    <x v="988"/>
    <n v="5516.17"/>
    <x v="987"/>
    <x v="1"/>
    <x v="2"/>
    <x v="1"/>
    <x v="11"/>
    <n v="12"/>
    <s v="Q4"/>
    <n v="0.3331564326177518"/>
  </r>
  <r>
    <x v="989"/>
    <x v="328"/>
    <s v="CUST1119"/>
    <s v="Customer 1238"/>
    <x v="1"/>
    <s v="Bengaluru"/>
    <x v="9"/>
    <x v="0"/>
    <n v="4"/>
    <n v="3282.62"/>
    <n v="0.02"/>
    <x v="989"/>
    <n v="11316.41"/>
    <x v="988"/>
    <x v="0"/>
    <x v="0"/>
    <x v="1"/>
    <x v="11"/>
    <n v="12"/>
    <s v="Q4"/>
    <n v="0.12056851677861215"/>
  </r>
  <r>
    <x v="990"/>
    <x v="328"/>
    <s v="CUST1213"/>
    <s v="Customer 1216"/>
    <x v="2"/>
    <s v="Pune"/>
    <x v="10"/>
    <x v="0"/>
    <n v="2"/>
    <n v="22097.69"/>
    <n v="0.1"/>
    <x v="990"/>
    <n v="38754.800000000003"/>
    <x v="989"/>
    <x v="0"/>
    <x v="1"/>
    <x v="1"/>
    <x v="11"/>
    <n v="12"/>
    <s v="Q4"/>
    <n v="2.5669853861037255E-2"/>
  </r>
  <r>
    <x v="991"/>
    <x v="328"/>
    <s v="CUST1103"/>
    <s v="Customer 1050"/>
    <x v="1"/>
    <s v="Bengaluru"/>
    <x v="6"/>
    <x v="2"/>
    <n v="1"/>
    <n v="2139.21"/>
    <n v="0.1"/>
    <x v="991"/>
    <n v="1469.96"/>
    <x v="990"/>
    <x v="0"/>
    <x v="4"/>
    <x v="1"/>
    <x v="11"/>
    <n v="12"/>
    <s v="Q4"/>
    <n v="0.23649943644853502"/>
  </r>
  <r>
    <x v="992"/>
    <x v="328"/>
    <s v="CUST1130"/>
    <s v="Customer 1084"/>
    <x v="0"/>
    <s v="Patna"/>
    <x v="3"/>
    <x v="2"/>
    <n v="4"/>
    <n v="751.17"/>
    <n v="0.15"/>
    <x v="992"/>
    <n v="2284.4899999999998"/>
    <x v="991"/>
    <x v="1"/>
    <x v="4"/>
    <x v="1"/>
    <x v="11"/>
    <n v="12"/>
    <s v="Q4"/>
    <n v="0.1055176626285249"/>
  </r>
  <r>
    <x v="993"/>
    <x v="328"/>
    <s v="CUST1095"/>
    <s v="Customer 1011"/>
    <x v="1"/>
    <s v="Hyderabad"/>
    <x v="4"/>
    <x v="1"/>
    <n v="2"/>
    <n v="16731.240000000002"/>
    <n v="0.15"/>
    <x v="993"/>
    <n v="28625.15"/>
    <x v="992"/>
    <x v="0"/>
    <x v="1"/>
    <x v="1"/>
    <x v="11"/>
    <n v="12"/>
    <s v="Q4"/>
    <n v="-6.4001440067559413E-3"/>
  </r>
  <r>
    <x v="994"/>
    <x v="329"/>
    <s v="CUST1265"/>
    <s v="Customer 1287"/>
    <x v="1"/>
    <s v="Hyderabad"/>
    <x v="10"/>
    <x v="0"/>
    <n v="1"/>
    <n v="28458.69"/>
    <n v="0.02"/>
    <x v="994"/>
    <n v="24435.119999999999"/>
    <x v="993"/>
    <x v="1"/>
    <x v="0"/>
    <x v="0"/>
    <x v="11"/>
    <n v="12"/>
    <s v="Q4"/>
    <n v="0.12386014531623349"/>
  </r>
  <r>
    <x v="995"/>
    <x v="329"/>
    <s v="CUST1065"/>
    <s v="Customer 1069"/>
    <x v="2"/>
    <s v="Ahmedabad"/>
    <x v="9"/>
    <x v="0"/>
    <n v="4"/>
    <n v="2048.21"/>
    <n v="0.02"/>
    <x v="995"/>
    <n v="7061.72"/>
    <x v="994"/>
    <x v="1"/>
    <x v="3"/>
    <x v="2"/>
    <x v="11"/>
    <n v="12"/>
    <s v="Q4"/>
    <n v="0.12047109346392693"/>
  </r>
  <r>
    <x v="996"/>
    <x v="329"/>
    <s v="CUST1090"/>
    <s v="Customer 1280"/>
    <x v="4"/>
    <s v="Lucknow"/>
    <x v="3"/>
    <x v="2"/>
    <n v="4"/>
    <n v="958.36"/>
    <n v="0.15"/>
    <x v="996"/>
    <n v="2507.86"/>
    <x v="995"/>
    <x v="1"/>
    <x v="0"/>
    <x v="1"/>
    <x v="11"/>
    <n v="12"/>
    <s v="Q4"/>
    <n v="0.23034476832329778"/>
  </r>
  <r>
    <x v="997"/>
    <x v="329"/>
    <s v="CUST1145"/>
    <s v="Customer 1217"/>
    <x v="0"/>
    <s v="Bhubaneswar"/>
    <x v="10"/>
    <x v="0"/>
    <n v="2"/>
    <n v="21009.9"/>
    <n v="0.05"/>
    <x v="997"/>
    <n v="32403.119999999999"/>
    <x v="996"/>
    <x v="1"/>
    <x v="4"/>
    <x v="1"/>
    <x v="11"/>
    <n v="12"/>
    <s v="Q4"/>
    <n v="0.18827439996332557"/>
  </r>
  <r>
    <x v="998"/>
    <x v="329"/>
    <s v="CUST1140"/>
    <s v="Customer 1190"/>
    <x v="2"/>
    <s v="Mumbai"/>
    <x v="1"/>
    <x v="1"/>
    <n v="1"/>
    <n v="5826.74"/>
    <n v="0.02"/>
    <x v="998"/>
    <n v="4005.56"/>
    <x v="997"/>
    <x v="0"/>
    <x v="4"/>
    <x v="0"/>
    <x v="11"/>
    <n v="12"/>
    <s v="Q4"/>
    <n v="0.29852667415033773"/>
  </r>
  <r>
    <x v="999"/>
    <x v="329"/>
    <s v="CUST1259"/>
    <s v="Customer 1283"/>
    <x v="1"/>
    <s v="Chennai"/>
    <x v="5"/>
    <x v="3"/>
    <n v="2"/>
    <n v="302.69"/>
    <n v="0.02"/>
    <x v="999"/>
    <n v="425.19"/>
    <x v="998"/>
    <x v="0"/>
    <x v="1"/>
    <x v="1"/>
    <x v="11"/>
    <n v="12"/>
    <s v="Q4"/>
    <n v="0.283311139953141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CDCBEB-3198-4BFB-9B6E-8EB15CAEED1E}" name="PivotTable1"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C5" firstHeaderRow="0" firstDataRow="1" firstDataCol="1"/>
  <pivotFields count="23">
    <pivotField showAll="0"/>
    <pivotField numFmtId="1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axis="axisRow" showAll="0" sortType="descending">
      <items count="6">
        <item h="1" x="3"/>
        <item h="1" x="0"/>
        <item h="1" x="4"/>
        <item x="1"/>
        <item h="1" x="2"/>
        <item t="default"/>
      </items>
      <autoSortScope>
        <pivotArea dataOnly="0" outline="0" fieldPosition="0">
          <references count="1">
            <reference field="4294967294" count="1" selected="0">
              <x v="0"/>
            </reference>
          </references>
        </pivotArea>
      </autoSortScope>
    </pivotField>
    <pivotField showAll="0"/>
    <pivotField showAll="0">
      <items count="13">
        <item x="6"/>
        <item x="1"/>
        <item x="9"/>
        <item x="7"/>
        <item x="2"/>
        <item x="8"/>
        <item x="11"/>
        <item x="5"/>
        <item x="4"/>
        <item x="0"/>
        <item x="10"/>
        <item x="3"/>
        <item t="default"/>
      </items>
    </pivotField>
    <pivotField showAll="0">
      <items count="6">
        <item x="4"/>
        <item x="0"/>
        <item x="1"/>
        <item x="2"/>
        <item x="3"/>
        <item t="default"/>
      </items>
    </pivotField>
    <pivotField showAll="0"/>
    <pivotField showAll="0"/>
    <pivotField showAll="0"/>
    <pivotField dataField="1" showAll="0"/>
    <pivotField showAll="0"/>
    <pivotField dataField="1"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4"/>
  </rowFields>
  <rowItems count="2">
    <i>
      <x v="3"/>
    </i>
    <i t="grand">
      <x/>
    </i>
  </rowItems>
  <colFields count="1">
    <field x="-2"/>
  </colFields>
  <colItems count="2">
    <i>
      <x/>
    </i>
    <i i="1">
      <x v="1"/>
    </i>
  </colItems>
  <dataFields count="2">
    <dataField name="Sum of Sales" fld="11" baseField="0" baseItem="0"/>
    <dataField name="Sum of Profit" fld="13"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18" format="6"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5FCFCE-8687-4DA7-AAB9-7B951B42E9A7}" name="PivotTable1"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9" firstHeaderRow="0" firstDataRow="1" firstDataCol="1"/>
  <pivotFields count="23">
    <pivotField showAll="0"/>
    <pivotField numFmtId="1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items count="6">
        <item h="1" x="3"/>
        <item h="1" x="0"/>
        <item h="1" x="4"/>
        <item x="1"/>
        <item h="1" x="2"/>
        <item t="default"/>
      </items>
    </pivotField>
    <pivotField showAll="0"/>
    <pivotField showAll="0">
      <items count="13">
        <item x="6"/>
        <item x="1"/>
        <item x="9"/>
        <item x="7"/>
        <item x="2"/>
        <item x="8"/>
        <item x="11"/>
        <item x="5"/>
        <item x="4"/>
        <item x="0"/>
        <item x="10"/>
        <item x="3"/>
        <item t="default"/>
      </items>
    </pivotField>
    <pivotField axis="axisRow" showAll="0">
      <items count="6">
        <item x="4"/>
        <item x="0"/>
        <item x="1"/>
        <item x="2"/>
        <item x="3"/>
        <item t="default"/>
      </items>
    </pivotField>
    <pivotField showAll="0"/>
    <pivotField showAll="0"/>
    <pivotField showAll="0"/>
    <pivotField dataField="1" showAll="0"/>
    <pivotField showAll="0"/>
    <pivotField dataField="1"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6">
    <i>
      <x/>
    </i>
    <i>
      <x v="1"/>
    </i>
    <i>
      <x v="2"/>
    </i>
    <i>
      <x v="3"/>
    </i>
    <i>
      <x v="4"/>
    </i>
    <i t="grand">
      <x/>
    </i>
  </rowItems>
  <colFields count="1">
    <field x="-2"/>
  </colFields>
  <colItems count="2">
    <i>
      <x/>
    </i>
    <i i="1">
      <x v="1"/>
    </i>
  </colItems>
  <dataFields count="2">
    <dataField name="Sum of Sales" fld="11" baseField="0" baseItem="0"/>
    <dataField name="Sum of Profit" fld="1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3F1521-A3BA-482A-BB0E-B5F5CC132FA1}" name="PivotTable2"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16" firstHeaderRow="0" firstDataRow="1" firstDataCol="1"/>
  <pivotFields count="23">
    <pivotField showAll="0"/>
    <pivotField numFmtId="1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items count="6">
        <item h="1" x="3"/>
        <item h="1" x="0"/>
        <item h="1" x="4"/>
        <item x="1"/>
        <item h="1" x="2"/>
        <item t="default"/>
      </items>
    </pivotField>
    <pivotField showAll="0"/>
    <pivotField axis="axisRow" showAll="0" sortType="descending">
      <items count="13">
        <item x="6"/>
        <item x="1"/>
        <item x="9"/>
        <item x="7"/>
        <item x="2"/>
        <item x="8"/>
        <item x="11"/>
        <item x="5"/>
        <item x="4"/>
        <item x="0"/>
        <item x="10"/>
        <item x="3"/>
        <item t="default"/>
      </items>
      <autoSortScope>
        <pivotArea dataOnly="0" outline="0" fieldPosition="0">
          <references count="1">
            <reference field="4294967294" count="1" selected="0">
              <x v="0"/>
            </reference>
          </references>
        </pivotArea>
      </autoSortScope>
    </pivotField>
    <pivotField showAll="0">
      <items count="6">
        <item x="4"/>
        <item x="0"/>
        <item x="1"/>
        <item x="2"/>
        <item x="3"/>
        <item t="default"/>
      </items>
    </pivotField>
    <pivotField dataField="1"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6"/>
  </rowFields>
  <rowItems count="13">
    <i>
      <x v="4"/>
    </i>
    <i>
      <x v="10"/>
    </i>
    <i>
      <x v="5"/>
    </i>
    <i>
      <x v="9"/>
    </i>
    <i>
      <x v="8"/>
    </i>
    <i>
      <x v="1"/>
    </i>
    <i>
      <x v="2"/>
    </i>
    <i>
      <x v="3"/>
    </i>
    <i>
      <x/>
    </i>
    <i>
      <x v="6"/>
    </i>
    <i>
      <x v="11"/>
    </i>
    <i>
      <x v="7"/>
    </i>
    <i t="grand">
      <x/>
    </i>
  </rowItems>
  <colFields count="1">
    <field x="-2"/>
  </colFields>
  <colItems count="3">
    <i>
      <x/>
    </i>
    <i i="1">
      <x v="1"/>
    </i>
    <i i="2">
      <x v="2"/>
    </i>
  </colItems>
  <dataFields count="3">
    <dataField name="Sum of Sales" fld="11" baseField="0" baseItem="0"/>
    <dataField name="Sum of Profit" fld="13" baseField="0" baseItem="0"/>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DCF008-8D36-4882-AC8D-AAF587EEBB33}" name="PivotTable3" cacheId="4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0">
  <location ref="A3:D16" firstHeaderRow="0" firstDataRow="1" firstDataCol="1"/>
  <pivotFields count="23">
    <pivotField dataField="1" showAll="0"/>
    <pivotField numFmtId="1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items count="6">
        <item h="1" x="3"/>
        <item h="1" x="0"/>
        <item h="1" x="4"/>
        <item x="1"/>
        <item h="1" x="2"/>
        <item t="default"/>
      </items>
    </pivotField>
    <pivotField showAll="0"/>
    <pivotField showAll="0">
      <items count="13">
        <item x="6"/>
        <item x="1"/>
        <item x="9"/>
        <item x="7"/>
        <item x="2"/>
        <item x="8"/>
        <item x="11"/>
        <item x="5"/>
        <item x="4"/>
        <item x="0"/>
        <item x="10"/>
        <item x="3"/>
        <item t="default"/>
      </items>
    </pivotField>
    <pivotField showAll="0">
      <items count="6">
        <item x="4"/>
        <item x="0"/>
        <item x="1"/>
        <item x="2"/>
        <item x="3"/>
        <item t="default"/>
      </items>
    </pivotField>
    <pivotField showAll="0"/>
    <pivotField showAll="0"/>
    <pivotField showAll="0"/>
    <pivotField dataField="1" showAll="0"/>
    <pivotField showAll="0"/>
    <pivotField dataField="1" showAll="0"/>
    <pivotField showAll="0"/>
    <pivotField showAll="0"/>
    <pivotField showAll="0"/>
    <pivotField showAll="0">
      <items count="13">
        <item x="0"/>
        <item x="1"/>
        <item x="2"/>
        <item x="3"/>
        <item x="4"/>
        <item x="5"/>
        <item x="6"/>
        <item x="7"/>
        <item x="8"/>
        <item x="9"/>
        <item x="10"/>
        <item x="11"/>
        <item t="default"/>
      </items>
    </pivotField>
    <pivotField showAll="0"/>
    <pivotField showAll="0"/>
    <pivotField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21"/>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Sum of Sales" fld="11" baseField="0" baseItem="0"/>
    <dataField name="Sum of Profit" fld="13" baseField="0" baseItem="0"/>
    <dataField name="Count of Order_ID" fld="0" subtotal="count" baseField="21" baseItem="3"/>
  </dataFields>
  <chartFormats count="6">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0" format="2" series="1">
      <pivotArea type="data" outline="0" fieldPosition="0">
        <references count="1">
          <reference field="4294967294" count="1" selected="0">
            <x v="2"/>
          </reference>
        </references>
      </pivotArea>
    </chartFormat>
    <chartFormat chart="26" format="6"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1"/>
          </reference>
        </references>
      </pivotArea>
    </chartFormat>
    <chartFormat chart="2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A61F7C-E4B9-4981-B384-093A91924D2B}" name="PivotTable26" cacheId="4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3:C8" firstHeaderRow="0" firstDataRow="1" firstDataCol="1"/>
  <pivotFields count="23">
    <pivotField showAll="0"/>
    <pivotField numFmtId="1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defaultSubtotal="0"/>
    <pivotField axis="axisRow" showAll="0" defaultSubtotal="0">
      <items count="6">
        <item x="0"/>
        <item x="1"/>
        <item x="2"/>
        <item x="3"/>
        <item x="4"/>
        <item x="5"/>
      </items>
    </pivotField>
  </pivotFields>
  <rowFields count="1">
    <field x="22"/>
  </rowFields>
  <rowItems count="5">
    <i>
      <x v="1"/>
    </i>
    <i>
      <x v="2"/>
    </i>
    <i>
      <x v="3"/>
    </i>
    <i>
      <x v="4"/>
    </i>
    <i t="grand">
      <x/>
    </i>
  </rowItems>
  <colFields count="1">
    <field x="-2"/>
  </colFields>
  <colItems count="2">
    <i>
      <x/>
    </i>
    <i i="1">
      <x v="1"/>
    </i>
  </colItems>
  <dataFields count="2">
    <dataField name="Sum of Sales" fld="11" baseField="0" baseItem="0"/>
    <dataField name="Sum of Profit" fld="13"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AA48BF-1D77-4ACA-BAEC-5C7CBCEEB8F0}" name="PivotTable5"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6" firstHeaderRow="0" firstDataRow="1" firstDataCol="1"/>
  <pivotFields count="23">
    <pivotField dataField="1" showAll="0"/>
    <pivotField numFmtId="1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items count="6">
        <item h="1" x="3"/>
        <item h="1" x="0"/>
        <item h="1" x="4"/>
        <item x="1"/>
        <item h="1" x="2"/>
        <item t="default"/>
      </items>
    </pivotField>
    <pivotField showAll="0"/>
    <pivotField showAll="0">
      <items count="13">
        <item x="6"/>
        <item x="1"/>
        <item x="9"/>
        <item x="7"/>
        <item x="2"/>
        <item x="8"/>
        <item x="11"/>
        <item x="5"/>
        <item x="4"/>
        <item x="0"/>
        <item x="10"/>
        <item x="3"/>
        <item t="default"/>
      </items>
    </pivotField>
    <pivotField showAll="0">
      <items count="6">
        <item x="4"/>
        <item x="0"/>
        <item x="1"/>
        <item x="2"/>
        <item x="3"/>
        <item t="default"/>
      </items>
    </pivotField>
    <pivotField showAll="0"/>
    <pivotField showAll="0"/>
    <pivotField showAll="0"/>
    <pivotField dataField="1" showAll="0"/>
    <pivotField showAll="0"/>
    <pivotField dataField="1" showAll="0"/>
    <pivotField axis="axisRow" showAll="0">
      <items count="3">
        <item x="1"/>
        <item x="0"/>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3">
    <i>
      <x/>
    </i>
    <i>
      <x v="1"/>
    </i>
    <i t="grand">
      <x/>
    </i>
  </rowItems>
  <colFields count="1">
    <field x="-2"/>
  </colFields>
  <colItems count="3">
    <i>
      <x/>
    </i>
    <i i="1">
      <x v="1"/>
    </i>
    <i i="2">
      <x v="2"/>
    </i>
  </colItems>
  <dataFields count="3">
    <dataField name="Sum of Sales" fld="11" baseField="0" baseItem="0"/>
    <dataField name="Sum of Profit" fld="13" baseField="0" baseItem="0"/>
    <dataField name="Count of Order_ID" fld="0" subtotal="count" baseField="14"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856D28-7382-4EA3-ABD7-5AB6CEA45B62}" name="PivotTable19"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0" firstDataRow="1" firstDataCol="1"/>
  <pivotFields count="23">
    <pivotField dataField="1" showAll="0"/>
    <pivotField numFmtId="1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items count="6">
        <item h="1" x="3"/>
        <item h="1" x="0"/>
        <item h="1" x="4"/>
        <item x="1"/>
        <item h="1" x="2"/>
        <item t="default"/>
      </items>
    </pivotField>
    <pivotField showAll="0"/>
    <pivotField showAll="0">
      <items count="13">
        <item x="6"/>
        <item x="1"/>
        <item x="9"/>
        <item x="7"/>
        <item x="2"/>
        <item x="8"/>
        <item x="11"/>
        <item x="5"/>
        <item x="4"/>
        <item x="0"/>
        <item x="10"/>
        <item x="3"/>
        <item t="default"/>
      </items>
    </pivotField>
    <pivotField showAll="0">
      <items count="6">
        <item x="4"/>
        <item x="0"/>
        <item x="1"/>
        <item x="2"/>
        <item x="3"/>
        <item t="default"/>
      </items>
    </pivotField>
    <pivotField showAll="0"/>
    <pivotField showAll="0"/>
    <pivotField showAll="0"/>
    <pivotField dataField="1" showAll="0"/>
    <pivotField showAll="0"/>
    <pivotField dataField="1" showAll="0">
      <items count="1000">
        <item x="94"/>
        <item x="292"/>
        <item x="540"/>
        <item x="659"/>
        <item x="864"/>
        <item x="613"/>
        <item x="160"/>
        <item x="463"/>
        <item x="992"/>
        <item x="151"/>
        <item x="692"/>
        <item x="867"/>
        <item x="971"/>
        <item x="905"/>
        <item x="218"/>
        <item x="750"/>
        <item x="213"/>
        <item x="244"/>
        <item x="360"/>
        <item x="305"/>
        <item x="357"/>
        <item x="828"/>
        <item x="408"/>
        <item x="690"/>
        <item x="377"/>
        <item x="301"/>
        <item x="972"/>
        <item x="53"/>
        <item x="449"/>
        <item x="725"/>
        <item x="525"/>
        <item x="93"/>
        <item x="32"/>
        <item x="110"/>
        <item x="108"/>
        <item x="573"/>
        <item x="6"/>
        <item x="467"/>
        <item x="411"/>
        <item x="205"/>
        <item x="39"/>
        <item x="732"/>
        <item x="430"/>
        <item x="900"/>
        <item x="683"/>
        <item x="420"/>
        <item x="851"/>
        <item x="481"/>
        <item x="588"/>
        <item x="781"/>
        <item x="100"/>
        <item x="472"/>
        <item x="493"/>
        <item x="126"/>
        <item x="116"/>
        <item x="296"/>
        <item x="454"/>
        <item x="312"/>
        <item x="278"/>
        <item x="749"/>
        <item x="952"/>
        <item x="548"/>
        <item x="621"/>
        <item x="183"/>
        <item x="855"/>
        <item x="556"/>
        <item x="313"/>
        <item x="22"/>
        <item x="12"/>
        <item x="190"/>
        <item x="687"/>
        <item x="482"/>
        <item x="926"/>
        <item x="462"/>
        <item x="721"/>
        <item x="664"/>
        <item x="122"/>
        <item x="938"/>
        <item x="784"/>
        <item x="881"/>
        <item x="148"/>
        <item x="520"/>
        <item x="567"/>
        <item x="745"/>
        <item x="161"/>
        <item x="686"/>
        <item x="59"/>
        <item x="464"/>
        <item x="446"/>
        <item x="718"/>
        <item x="232"/>
        <item x="320"/>
        <item x="934"/>
        <item x="825"/>
        <item x="103"/>
        <item x="166"/>
        <item x="295"/>
        <item x="753"/>
        <item x="217"/>
        <item x="140"/>
        <item x="647"/>
        <item x="283"/>
        <item x="810"/>
        <item x="89"/>
        <item x="394"/>
        <item x="435"/>
        <item x="580"/>
        <item x="317"/>
        <item x="500"/>
        <item x="936"/>
        <item x="216"/>
        <item x="783"/>
        <item x="11"/>
        <item x="598"/>
        <item x="883"/>
        <item x="72"/>
        <item x="314"/>
        <item x="852"/>
        <item x="475"/>
        <item x="537"/>
        <item x="533"/>
        <item x="429"/>
        <item x="541"/>
        <item x="243"/>
        <item x="912"/>
        <item x="670"/>
        <item x="15"/>
        <item x="469"/>
        <item x="188"/>
        <item x="618"/>
        <item x="645"/>
        <item x="625"/>
        <item x="611"/>
        <item x="775"/>
        <item x="250"/>
        <item x="707"/>
        <item x="157"/>
        <item x="951"/>
        <item x="373"/>
        <item x="639"/>
        <item x="527"/>
        <item x="392"/>
        <item x="890"/>
        <item x="159"/>
        <item x="70"/>
        <item x="142"/>
        <item x="897"/>
        <item x="734"/>
        <item x="651"/>
        <item x="47"/>
        <item x="165"/>
        <item x="356"/>
        <item x="518"/>
        <item x="891"/>
        <item x="937"/>
        <item x="896"/>
        <item x="99"/>
        <item x="998"/>
        <item x="499"/>
        <item x="199"/>
        <item x="730"/>
        <item x="322"/>
        <item x="144"/>
        <item x="46"/>
        <item x="257"/>
        <item x="564"/>
        <item x="363"/>
        <item x="352"/>
        <item x="599"/>
        <item x="37"/>
        <item x="349"/>
        <item x="962"/>
        <item x="117"/>
        <item x="565"/>
        <item x="490"/>
        <item x="521"/>
        <item x="964"/>
        <item x="433"/>
        <item x="873"/>
        <item x="236"/>
        <item x="457"/>
        <item x="575"/>
        <item x="210"/>
        <item x="681"/>
        <item x="634"/>
        <item x="950"/>
        <item x="186"/>
        <item x="280"/>
        <item x="194"/>
        <item x="419"/>
        <item x="413"/>
        <item x="214"/>
        <item x="956"/>
        <item x="731"/>
        <item x="439"/>
        <item x="153"/>
        <item x="806"/>
        <item x="496"/>
        <item x="674"/>
        <item x="506"/>
        <item x="105"/>
        <item x="273"/>
        <item x="696"/>
        <item x="98"/>
        <item x="704"/>
        <item x="445"/>
        <item x="887"/>
        <item x="818"/>
        <item x="28"/>
        <item x="654"/>
        <item x="212"/>
        <item x="291"/>
        <item x="426"/>
        <item x="87"/>
        <item x="700"/>
        <item x="158"/>
        <item x="350"/>
        <item x="192"/>
        <item x="61"/>
        <item x="609"/>
        <item x="826"/>
        <item x="594"/>
        <item x="746"/>
        <item x="101"/>
        <item x="378"/>
        <item x="991"/>
        <item x="150"/>
        <item x="361"/>
        <item x="758"/>
        <item x="246"/>
        <item x="653"/>
        <item x="80"/>
        <item x="711"/>
        <item x="318"/>
        <item x="928"/>
        <item x="30"/>
        <item x="484"/>
        <item x="793"/>
        <item x="65"/>
        <item x="892"/>
        <item x="156"/>
        <item x="498"/>
        <item x="583"/>
        <item x="8"/>
        <item x="819"/>
        <item x="146"/>
        <item x="359"/>
        <item x="626"/>
        <item x="503"/>
        <item x="4"/>
        <item x="315"/>
        <item x="298"/>
        <item x="453"/>
        <item x="751"/>
        <item x="364"/>
        <item x="915"/>
        <item x="48"/>
        <item x="505"/>
        <item x="478"/>
        <item x="688"/>
        <item x="3"/>
        <item x="337"/>
        <item x="615"/>
        <item x="980"/>
        <item x="209"/>
        <item x="553"/>
        <item x="904"/>
        <item x="388"/>
        <item x="836"/>
        <item x="279"/>
        <item x="984"/>
        <item x="617"/>
        <item x="755"/>
        <item x="986"/>
        <item x="267"/>
        <item x="486"/>
        <item x="303"/>
        <item x="10"/>
        <item x="441"/>
        <item x="479"/>
        <item x="804"/>
        <item x="752"/>
        <item x="414"/>
        <item x="50"/>
        <item x="698"/>
        <item x="545"/>
        <item x="51"/>
        <item x="665"/>
        <item x="211"/>
        <item x="88"/>
        <item x="237"/>
        <item x="601"/>
        <item x="857"/>
        <item x="325"/>
        <item x="129"/>
        <item x="976"/>
        <item x="990"/>
        <item x="431"/>
        <item x="871"/>
        <item x="383"/>
        <item x="201"/>
        <item x="539"/>
        <item x="884"/>
        <item x="777"/>
        <item x="929"/>
        <item x="720"/>
        <item x="135"/>
        <item x="443"/>
        <item x="162"/>
        <item x="67"/>
        <item x="510"/>
        <item x="668"/>
        <item x="272"/>
        <item x="646"/>
        <item x="635"/>
        <item x="838"/>
        <item x="849"/>
        <item x="701"/>
        <item x="546"/>
        <item x="248"/>
        <item x="787"/>
        <item x="9"/>
        <item x="815"/>
        <item x="474"/>
        <item x="458"/>
        <item x="20"/>
        <item x="265"/>
        <item x="358"/>
        <item x="802"/>
        <item x="390"/>
        <item x="69"/>
        <item x="859"/>
        <item x="985"/>
        <item x="29"/>
        <item x="620"/>
        <item x="593"/>
        <item x="76"/>
        <item x="706"/>
        <item x="561"/>
        <item x="224"/>
        <item x="808"/>
        <item x="7"/>
        <item x="579"/>
        <item x="637"/>
        <item x="717"/>
        <item x="178"/>
        <item x="40"/>
        <item x="147"/>
        <item x="62"/>
        <item x="918"/>
        <item x="608"/>
        <item x="675"/>
        <item x="757"/>
        <item x="196"/>
        <item x="362"/>
        <item x="863"/>
        <item x="839"/>
        <item x="400"/>
        <item x="491"/>
        <item x="512"/>
        <item x="882"/>
        <item x="591"/>
        <item x="249"/>
        <item x="450"/>
        <item x="82"/>
        <item x="767"/>
        <item x="293"/>
        <item x="770"/>
        <item x="799"/>
        <item x="648"/>
        <item x="276"/>
        <item x="104"/>
        <item x="835"/>
        <item x="870"/>
        <item x="381"/>
        <item x="797"/>
        <item x="824"/>
        <item x="585"/>
        <item x="488"/>
        <item x="803"/>
        <item x="995"/>
        <item x="509"/>
        <item x="963"/>
        <item x="480"/>
        <item x="382"/>
        <item x="395"/>
        <item x="176"/>
        <item x="902"/>
        <item x="813"/>
        <item x="338"/>
        <item x="526"/>
        <item x="606"/>
        <item x="853"/>
        <item x="974"/>
        <item x="220"/>
        <item x="705"/>
        <item x="789"/>
        <item x="64"/>
        <item x="49"/>
        <item x="942"/>
        <item x="756"/>
        <item x="967"/>
        <item x="779"/>
        <item x="407"/>
        <item x="167"/>
        <item x="60"/>
        <item x="968"/>
        <item x="763"/>
        <item x="92"/>
        <item x="612"/>
        <item x="123"/>
        <item x="978"/>
        <item x="847"/>
        <item x="523"/>
        <item x="460"/>
        <item x="973"/>
        <item x="739"/>
        <item x="288"/>
        <item x="862"/>
        <item x="735"/>
        <item x="994"/>
        <item x="169"/>
        <item x="241"/>
        <item x="492"/>
        <item x="253"/>
        <item x="73"/>
        <item x="18"/>
        <item x="524"/>
        <item x="605"/>
        <item x="259"/>
        <item x="114"/>
        <item x="399"/>
        <item x="989"/>
        <item x="610"/>
        <item x="774"/>
        <item x="694"/>
        <item x="403"/>
        <item x="957"/>
        <item x="879"/>
        <item x="941"/>
        <item x="846"/>
        <item x="168"/>
        <item x="722"/>
        <item x="97"/>
        <item x="899"/>
        <item x="630"/>
        <item x="197"/>
        <item x="737"/>
        <item x="483"/>
        <item x="208"/>
        <item x="816"/>
        <item x="761"/>
        <item x="466"/>
        <item x="733"/>
        <item x="667"/>
        <item x="341"/>
        <item x="743"/>
        <item x="180"/>
        <item x="342"/>
        <item x="181"/>
        <item x="850"/>
        <item x="582"/>
        <item x="959"/>
        <item x="333"/>
        <item x="427"/>
        <item x="16"/>
        <item x="558"/>
        <item x="440"/>
        <item x="624"/>
        <item x="953"/>
        <item x="906"/>
        <item x="820"/>
        <item x="306"/>
        <item x="944"/>
        <item x="145"/>
        <item x="823"/>
        <item x="742"/>
        <item x="172"/>
        <item x="371"/>
        <item x="831"/>
        <item x="829"/>
        <item x="391"/>
        <item x="198"/>
        <item x="983"/>
        <item x="921"/>
        <item x="954"/>
        <item x="931"/>
        <item x="869"/>
        <item x="501"/>
        <item x="138"/>
        <item x="628"/>
        <item x="827"/>
        <item x="589"/>
        <item x="801"/>
        <item x="242"/>
        <item x="866"/>
        <item x="555"/>
        <item x="747"/>
        <item x="504"/>
        <item x="840"/>
        <item x="716"/>
        <item x="459"/>
        <item x="170"/>
        <item x="245"/>
        <item x="63"/>
        <item x="368"/>
        <item x="547"/>
        <item x="969"/>
        <item x="631"/>
        <item x="550"/>
        <item x="988"/>
        <item x="109"/>
        <item x="465"/>
        <item x="917"/>
        <item x="173"/>
        <item x="812"/>
        <item x="277"/>
        <item x="410"/>
        <item x="432"/>
        <item x="800"/>
        <item x="58"/>
        <item x="182"/>
        <item x="154"/>
        <item x="534"/>
        <item x="754"/>
        <item x="372"/>
        <item x="240"/>
        <item x="844"/>
        <item x="438"/>
        <item x="997"/>
        <item x="616"/>
        <item x="328"/>
        <item x="697"/>
        <item x="370"/>
        <item x="448"/>
        <item x="31"/>
        <item x="379"/>
        <item x="260"/>
        <item x="225"/>
        <item x="811"/>
        <item x="271"/>
        <item x="832"/>
        <item x="569"/>
        <item x="402"/>
        <item x="351"/>
        <item x="888"/>
        <item x="571"/>
        <item x="805"/>
        <item x="901"/>
        <item x="442"/>
        <item x="834"/>
        <item x="397"/>
        <item x="21"/>
        <item x="949"/>
        <item x="702"/>
        <item x="497"/>
        <item x="401"/>
        <item x="286"/>
        <item x="773"/>
        <item x="741"/>
        <item x="5"/>
        <item x="228"/>
        <item x="335"/>
        <item x="590"/>
        <item x="587"/>
        <item x="841"/>
        <item x="416"/>
        <item x="177"/>
        <item x="920"/>
        <item x="24"/>
        <item x="842"/>
        <item x="764"/>
        <item x="778"/>
        <item x="574"/>
        <item x="927"/>
        <item x="791"/>
        <item x="814"/>
        <item x="922"/>
        <item x="542"/>
        <item x="290"/>
        <item x="375"/>
        <item x="473"/>
        <item x="274"/>
        <item x="695"/>
        <item x="45"/>
        <item x="710"/>
        <item x="163"/>
        <item x="817"/>
        <item x="41"/>
        <item x="0"/>
        <item x="434"/>
        <item x="206"/>
        <item x="141"/>
        <item x="536"/>
        <item x="930"/>
        <item x="714"/>
        <item x="656"/>
        <item x="623"/>
        <item x="393"/>
        <item x="346"/>
        <item x="738"/>
        <item x="576"/>
        <item x="809"/>
        <item x="304"/>
        <item x="307"/>
        <item x="387"/>
        <item x="792"/>
        <item x="856"/>
        <item x="195"/>
        <item x="339"/>
        <item x="908"/>
        <item x="202"/>
        <item x="798"/>
        <item x="54"/>
        <item x="531"/>
        <item x="566"/>
        <item x="261"/>
        <item x="284"/>
        <item x="468"/>
        <item x="137"/>
        <item x="164"/>
        <item x="331"/>
        <item x="133"/>
        <item x="684"/>
        <item x="535"/>
        <item x="597"/>
        <item x="266"/>
        <item x="348"/>
        <item x="139"/>
        <item x="336"/>
        <item x="682"/>
        <item x="987"/>
        <item x="316"/>
        <item x="268"/>
        <item x="649"/>
        <item x="256"/>
        <item x="924"/>
        <item x="663"/>
        <item x="415"/>
        <item x="239"/>
        <item x="596"/>
        <item x="708"/>
        <item x="189"/>
        <item x="903"/>
        <item x="409"/>
        <item x="557"/>
        <item x="966"/>
        <item x="36"/>
        <item x="297"/>
        <item x="423"/>
        <item x="568"/>
        <item x="868"/>
        <item x="507"/>
        <item x="543"/>
        <item x="221"/>
        <item x="607"/>
        <item x="642"/>
        <item x="470"/>
        <item x="1"/>
        <item x="766"/>
        <item x="471"/>
        <item x="993"/>
        <item x="111"/>
        <item x="885"/>
        <item x="485"/>
        <item x="586"/>
        <item x="330"/>
        <item x="270"/>
        <item x="513"/>
        <item x="769"/>
        <item x="78"/>
        <item x="35"/>
        <item x="329"/>
        <item x="389"/>
        <item x="821"/>
        <item x="187"/>
        <item x="258"/>
        <item x="125"/>
        <item x="726"/>
        <item x="703"/>
        <item x="451"/>
        <item x="790"/>
        <item x="886"/>
        <item x="672"/>
        <item x="923"/>
        <item x="120"/>
        <item x="780"/>
        <item x="134"/>
        <item x="788"/>
        <item x="652"/>
        <item x="247"/>
        <item x="386"/>
        <item x="175"/>
        <item x="299"/>
        <item x="898"/>
        <item x="961"/>
        <item x="677"/>
        <item x="321"/>
        <item x="380"/>
        <item x="149"/>
        <item x="44"/>
        <item x="939"/>
        <item x="332"/>
        <item x="911"/>
        <item x="91"/>
        <item x="603"/>
        <item x="570"/>
        <item x="544"/>
        <item x="367"/>
        <item x="121"/>
        <item x="948"/>
        <item x="319"/>
        <item x="447"/>
        <item x="234"/>
        <item x="33"/>
        <item x="404"/>
        <item x="233"/>
        <item x="522"/>
        <item x="666"/>
        <item x="517"/>
        <item x="600"/>
        <item x="444"/>
        <item x="345"/>
        <item x="385"/>
        <item x="143"/>
        <item x="425"/>
        <item x="27"/>
        <item x="90"/>
        <item x="219"/>
        <item x="235"/>
        <item x="289"/>
        <item x="559"/>
        <item x="893"/>
        <item x="17"/>
        <item x="334"/>
        <item x="263"/>
        <item x="215"/>
        <item x="38"/>
        <item x="641"/>
        <item x="222"/>
        <item x="671"/>
        <item x="685"/>
        <item x="914"/>
        <item x="107"/>
        <item x="207"/>
        <item x="229"/>
        <item x="56"/>
        <item x="428"/>
        <item x="25"/>
        <item x="627"/>
        <item x="604"/>
        <item x="644"/>
        <item x="511"/>
        <item x="130"/>
        <item x="552"/>
        <item x="532"/>
        <item x="79"/>
        <item x="872"/>
        <item x="324"/>
        <item x="26"/>
        <item x="155"/>
        <item x="878"/>
        <item x="308"/>
        <item x="226"/>
        <item x="728"/>
        <item x="693"/>
        <item x="538"/>
        <item x="84"/>
        <item x="724"/>
        <item x="837"/>
        <item x="365"/>
        <item x="369"/>
        <item x="424"/>
        <item x="374"/>
        <item x="560"/>
        <item x="919"/>
        <item x="42"/>
        <item x="204"/>
        <item x="281"/>
        <item x="660"/>
        <item x="622"/>
        <item x="487"/>
        <item x="405"/>
        <item x="673"/>
        <item x="860"/>
        <item x="602"/>
        <item x="858"/>
        <item x="584"/>
        <item x="231"/>
        <item x="14"/>
        <item x="549"/>
        <item x="223"/>
        <item x="323"/>
        <item x="713"/>
        <item x="136"/>
        <item x="689"/>
        <item x="771"/>
        <item x="875"/>
        <item x="376"/>
        <item x="353"/>
        <item x="772"/>
        <item x="384"/>
        <item x="13"/>
        <item x="723"/>
        <item x="996"/>
        <item x="238"/>
        <item x="294"/>
        <item x="508"/>
        <item x="843"/>
        <item x="786"/>
        <item x="715"/>
        <item x="152"/>
        <item x="85"/>
        <item x="275"/>
        <item x="227"/>
        <item x="945"/>
        <item x="340"/>
        <item x="455"/>
        <item x="77"/>
        <item x="946"/>
        <item x="530"/>
        <item x="417"/>
        <item x="865"/>
        <item x="269"/>
        <item x="822"/>
        <item x="495"/>
        <item x="191"/>
        <item x="311"/>
        <item x="57"/>
        <item x="833"/>
        <item x="519"/>
        <item x="287"/>
        <item x="970"/>
        <item x="845"/>
        <item x="691"/>
        <item x="748"/>
        <item x="960"/>
        <item x="502"/>
        <item x="128"/>
        <item x="679"/>
        <item x="264"/>
        <item x="981"/>
        <item x="940"/>
        <item x="203"/>
        <item x="127"/>
        <item x="86"/>
        <item x="640"/>
        <item x="252"/>
        <item x="255"/>
        <item x="935"/>
        <item x="619"/>
        <item x="52"/>
        <item x="326"/>
        <item x="947"/>
        <item x="355"/>
        <item x="456"/>
        <item x="916"/>
        <item x="830"/>
        <item x="776"/>
        <item x="174"/>
        <item x="489"/>
        <item x="366"/>
        <item x="516"/>
        <item x="300"/>
        <item x="740"/>
        <item x="310"/>
        <item x="55"/>
        <item x="680"/>
        <item x="736"/>
        <item x="102"/>
        <item x="81"/>
        <item x="285"/>
        <item x="662"/>
        <item x="614"/>
        <item x="106"/>
        <item x="925"/>
        <item x="794"/>
        <item x="171"/>
        <item x="876"/>
        <item x="955"/>
        <item x="309"/>
        <item x="768"/>
        <item x="476"/>
        <item x="282"/>
        <item x="327"/>
        <item x="494"/>
        <item x="977"/>
        <item x="184"/>
        <item x="744"/>
        <item x="302"/>
        <item x="658"/>
        <item x="477"/>
        <item x="562"/>
        <item x="554"/>
        <item x="854"/>
        <item x="632"/>
        <item x="578"/>
        <item x="421"/>
        <item x="43"/>
        <item x="894"/>
        <item x="418"/>
        <item x="572"/>
        <item x="461"/>
        <item x="563"/>
        <item x="124"/>
        <item x="66"/>
        <item x="874"/>
        <item x="595"/>
        <item x="83"/>
        <item x="115"/>
        <item x="712"/>
        <item x="71"/>
        <item x="932"/>
        <item x="34"/>
        <item x="907"/>
        <item x="193"/>
        <item x="529"/>
        <item x="727"/>
        <item x="112"/>
        <item x="629"/>
        <item x="437"/>
        <item x="230"/>
        <item x="581"/>
        <item x="343"/>
        <item x="877"/>
        <item x="795"/>
        <item x="965"/>
        <item x="23"/>
        <item x="979"/>
        <item x="678"/>
        <item x="796"/>
        <item x="19"/>
        <item x="592"/>
        <item x="910"/>
        <item x="75"/>
        <item x="762"/>
        <item x="412"/>
        <item x="436"/>
        <item x="347"/>
        <item x="633"/>
        <item x="354"/>
        <item x="729"/>
        <item x="785"/>
        <item x="782"/>
        <item x="719"/>
        <item x="514"/>
        <item x="636"/>
        <item x="118"/>
        <item x="515"/>
        <item x="422"/>
        <item x="398"/>
        <item x="396"/>
        <item x="759"/>
        <item x="982"/>
        <item x="913"/>
        <item x="657"/>
        <item x="848"/>
        <item x="933"/>
        <item x="669"/>
        <item x="132"/>
        <item x="119"/>
        <item x="655"/>
        <item x="676"/>
        <item x="2"/>
        <item x="551"/>
        <item x="699"/>
        <item x="909"/>
        <item x="74"/>
        <item x="251"/>
        <item x="113"/>
        <item x="406"/>
        <item x="958"/>
        <item x="661"/>
        <item x="650"/>
        <item x="96"/>
        <item x="577"/>
        <item x="895"/>
        <item x="344"/>
        <item x="179"/>
        <item x="200"/>
        <item x="765"/>
        <item x="638"/>
        <item x="95"/>
        <item x="643"/>
        <item x="262"/>
        <item x="889"/>
        <item x="709"/>
        <item x="807"/>
        <item x="254"/>
        <item x="880"/>
        <item x="975"/>
        <item x="131"/>
        <item x="452"/>
        <item x="528"/>
        <item x="760"/>
        <item x="185"/>
        <item x="943"/>
        <item x="861"/>
        <item x="68"/>
        <item t="default"/>
      </items>
    </pivotField>
    <pivotField showAll="0"/>
    <pivotField showAll="0"/>
    <pivotField axis="axisRow" showAll="0">
      <items count="4">
        <item x="0"/>
        <item x="1"/>
        <item x="2"/>
        <item t="default"/>
      </items>
    </pivotField>
    <pivotField showAll="0">
      <items count="13">
        <item x="0"/>
        <item x="1"/>
        <item x="2"/>
        <item x="3"/>
        <item x="4"/>
        <item x="5"/>
        <item x="6"/>
        <item x="7"/>
        <item x="8"/>
        <item x="9"/>
        <item x="10"/>
        <item x="1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6"/>
  </rowFields>
  <rowItems count="4">
    <i>
      <x/>
    </i>
    <i>
      <x v="1"/>
    </i>
    <i>
      <x v="2"/>
    </i>
    <i t="grand">
      <x/>
    </i>
  </rowItems>
  <colFields count="1">
    <field x="-2"/>
  </colFields>
  <colItems count="3">
    <i>
      <x/>
    </i>
    <i i="1">
      <x v="1"/>
    </i>
    <i i="2">
      <x v="2"/>
    </i>
  </colItems>
  <dataFields count="3">
    <dataField name="Sum of Sales" fld="11" baseField="0" baseItem="0"/>
    <dataField name="Sum of Profit" fld="13" baseField="0" baseItem="0"/>
    <dataField name="Count of Order_ID" fld="0" subtotal="count"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AF7104-D386-4790-9299-10058C572B05}" name="PivotTable24"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0" firstDataRow="1" firstDataCol="1"/>
  <pivotFields count="23">
    <pivotField dataField="1" showAll="0"/>
    <pivotField numFmtId="1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items count="6">
        <item h="1" x="3"/>
        <item h="1" x="0"/>
        <item h="1" x="4"/>
        <item x="1"/>
        <item h="1" x="2"/>
        <item t="default"/>
      </items>
    </pivotField>
    <pivotField showAll="0"/>
    <pivotField showAll="0"/>
    <pivotField showAll="0">
      <items count="6">
        <item x="4"/>
        <item x="0"/>
        <item x="1"/>
        <item x="2"/>
        <item x="3"/>
        <item t="default"/>
      </items>
    </pivotField>
    <pivotField showAll="0"/>
    <pivotField showAll="0"/>
    <pivotField showAll="0"/>
    <pivotField dataField="1" showAll="0">
      <items count="1001">
        <item x="357"/>
        <item x="411"/>
        <item x="726"/>
        <item x="205"/>
        <item x="852"/>
        <item x="525"/>
        <item x="430"/>
        <item x="305"/>
        <item x="93"/>
        <item x="548"/>
        <item x="573"/>
        <item x="313"/>
        <item x="953"/>
        <item x="53"/>
        <item x="116"/>
        <item x="733"/>
        <item x="829"/>
        <item x="520"/>
        <item x="301"/>
        <item x="750"/>
        <item x="6"/>
        <item x="190"/>
        <item x="746"/>
        <item x="449"/>
        <item x="472"/>
        <item x="782"/>
        <item x="647"/>
        <item x="89"/>
        <item x="856"/>
        <item x="927"/>
        <item x="785"/>
        <item x="621"/>
        <item x="232"/>
        <item x="360"/>
        <item x="12"/>
        <item x="664"/>
        <item x="161"/>
        <item x="500"/>
        <item x="296"/>
        <item x="278"/>
        <item x="901"/>
        <item x="420"/>
        <item x="122"/>
        <item x="467"/>
        <item x="462"/>
        <item x="59"/>
        <item x="446"/>
        <item x="722"/>
        <item x="213"/>
        <item x="100"/>
        <item x="687"/>
        <item x="588"/>
        <item x="882"/>
        <item x="140"/>
        <item x="183"/>
        <item x="645"/>
        <item x="22"/>
        <item x="541"/>
        <item x="295"/>
        <item x="618"/>
        <item x="567"/>
        <item x="314"/>
        <item x="688"/>
        <item x="754"/>
        <item x="312"/>
        <item x="103"/>
        <item x="166"/>
        <item x="719"/>
        <item x="475"/>
        <item x="39"/>
        <item x="853"/>
        <item x="670"/>
        <item x="317"/>
        <item x="243"/>
        <item x="913"/>
        <item x="938"/>
        <item x="349"/>
        <item x="935"/>
        <item x="533"/>
        <item x="429"/>
        <item x="457"/>
        <item x="999"/>
        <item x="482"/>
        <item x="580"/>
        <item x="639"/>
        <item x="236"/>
        <item x="433"/>
        <item x="148"/>
        <item x="464"/>
        <item x="72"/>
        <item x="811"/>
        <item x="105"/>
        <item x="11"/>
        <item x="157"/>
        <item x="564"/>
        <item x="320"/>
        <item x="651"/>
        <item x="199"/>
        <item x="751"/>
        <item x="952"/>
        <item x="392"/>
        <item x="506"/>
        <item x="110"/>
        <item x="99"/>
        <item x="732"/>
        <item x="394"/>
        <item x="892"/>
        <item x="80"/>
        <item x="735"/>
        <item x="257"/>
        <item x="794"/>
        <item x="951"/>
        <item x="142"/>
        <item x="712"/>
        <item x="776"/>
        <item x="356"/>
        <item x="527"/>
        <item x="291"/>
        <item x="654"/>
        <item x="807"/>
        <item x="186"/>
        <item x="373"/>
        <item x="731"/>
        <item x="15"/>
        <item x="210"/>
        <item x="611"/>
        <item x="126"/>
        <item x="759"/>
        <item x="144"/>
        <item x="939"/>
        <item x="691"/>
        <item x="28"/>
        <item x="212"/>
        <item x="478"/>
        <item x="898"/>
        <item x="705"/>
        <item x="701"/>
        <item x="214"/>
        <item x="98"/>
        <item x="322"/>
        <item x="70"/>
        <item x="609"/>
        <item x="599"/>
        <item x="3"/>
        <item x="426"/>
        <item x="37"/>
        <item x="217"/>
        <item x="298"/>
        <item x="684"/>
        <item x="556"/>
        <item x="363"/>
        <item x="893"/>
        <item x="413"/>
        <item x="453"/>
        <item x="46"/>
        <item x="435"/>
        <item x="505"/>
        <item x="625"/>
        <item x="819"/>
        <item x="987"/>
        <item x="279"/>
        <item x="653"/>
        <item x="756"/>
        <item x="273"/>
        <item x="337"/>
        <item x="891"/>
        <item x="537"/>
        <item x="753"/>
        <item x="267"/>
        <item x="315"/>
        <item x="165"/>
        <item x="159"/>
        <item x="414"/>
        <item x="246"/>
        <item x="117"/>
        <item x="364"/>
        <item x="211"/>
        <item x="469"/>
        <item x="87"/>
        <item x="325"/>
        <item x="352"/>
        <item x="498"/>
        <item x="805"/>
        <item x="784"/>
        <item x="50"/>
        <item x="827"/>
        <item x="826"/>
        <item x="158"/>
        <item x="594"/>
        <item x="431"/>
        <item x="194"/>
        <item x="888"/>
        <item x="146"/>
        <item x="897"/>
        <item x="156"/>
        <item x="674"/>
        <item x="192"/>
        <item x="929"/>
        <item x="788"/>
        <item x="378"/>
        <item x="69"/>
        <item x="634"/>
        <item x="689"/>
        <item x="679"/>
        <item x="963"/>
        <item x="358"/>
        <item x="545"/>
        <item x="265"/>
        <item x="303"/>
        <item x="439"/>
        <item x="682"/>
        <item x="153"/>
        <item x="518"/>
        <item x="9"/>
        <item x="916"/>
        <item x="48"/>
        <item x="718"/>
        <item x="858"/>
        <item x="318"/>
        <item x="61"/>
        <item x="280"/>
        <item x="837"/>
        <item x="561"/>
        <item x="583"/>
        <item x="874"/>
        <item x="350"/>
        <item x="575"/>
        <item x="957"/>
        <item x="29"/>
        <item x="359"/>
        <item x="237"/>
        <item x="991"/>
        <item x="973"/>
        <item x="985"/>
        <item x="872"/>
        <item x="388"/>
        <item x="491"/>
        <item x="101"/>
        <item x="8"/>
        <item x="699"/>
        <item x="702"/>
        <item x="188"/>
        <item x="758"/>
        <item x="479"/>
        <item x="510"/>
        <item x="816"/>
        <item x="919"/>
        <item x="539"/>
        <item x="820"/>
        <item x="441"/>
        <item x="484"/>
        <item x="937"/>
        <item x="626"/>
        <item x="986"/>
        <item x="67"/>
        <item x="129"/>
        <item x="553"/>
        <item x="338"/>
        <item x="747"/>
        <item x="839"/>
        <item x="968"/>
        <item x="668"/>
        <item x="383"/>
        <item x="860"/>
        <item x="4"/>
        <item x="903"/>
        <item x="800"/>
        <item x="162"/>
        <item x="60"/>
        <item x="697"/>
        <item x="7"/>
        <item x="992"/>
        <item x="481"/>
        <item x="871"/>
        <item x="521"/>
        <item x="201"/>
        <item x="930"/>
        <item x="977"/>
        <item x="454"/>
        <item x="249"/>
        <item x="979"/>
        <item x="395"/>
        <item x="804"/>
        <item x="981"/>
        <item x="608"/>
        <item x="10"/>
        <item x="752"/>
        <item x="665"/>
        <item x="92"/>
        <item x="905"/>
        <item x="381"/>
        <item x="637"/>
        <item x="390"/>
        <item x="526"/>
        <item x="407"/>
        <item x="150"/>
        <item x="458"/>
        <item x="768"/>
        <item x="612"/>
        <item x="104"/>
        <item x="620"/>
        <item x="460"/>
        <item x="496"/>
        <item x="646"/>
        <item x="972"/>
        <item x="840"/>
        <item x="854"/>
        <item x="707"/>
        <item x="635"/>
        <item x="88"/>
        <item x="615"/>
        <item x="605"/>
        <item x="293"/>
        <item x="721"/>
        <item x="778"/>
        <item x="648"/>
        <item x="250"/>
        <item x="220"/>
        <item x="814"/>
        <item x="474"/>
        <item x="965"/>
        <item x="524"/>
        <item x="996"/>
        <item x="362"/>
        <item x="708"/>
        <item x="825"/>
        <item x="885"/>
        <item x="147"/>
        <item x="180"/>
        <item x="675"/>
        <item x="196"/>
        <item x="49"/>
        <item x="744"/>
        <item x="167"/>
        <item x="958"/>
        <item x="617"/>
        <item x="546"/>
        <item x="62"/>
        <item x="832"/>
        <item x="809"/>
        <item x="445"/>
        <item x="16"/>
        <item x="591"/>
        <item x="208"/>
        <item x="450"/>
        <item x="593"/>
        <item x="32"/>
        <item x="850"/>
        <item x="870"/>
        <item x="606"/>
        <item x="954"/>
        <item x="197"/>
        <item x="224"/>
        <item x="734"/>
        <item x="851"/>
        <item x="123"/>
        <item x="400"/>
        <item x="736"/>
        <item x="884"/>
        <item x="863"/>
        <item x="40"/>
        <item x="803"/>
        <item x="244"/>
        <item x="382"/>
        <item x="964"/>
        <item x="492"/>
        <item x="76"/>
        <item x="974"/>
        <item x="906"/>
        <item x="802"/>
        <item x="907"/>
        <item x="283"/>
        <item x="706"/>
        <item x="624"/>
        <item x="490"/>
        <item x="368"/>
        <item x="443"/>
        <item x="145"/>
        <item x="918"/>
        <item x="945"/>
        <item x="288"/>
        <item x="610"/>
        <item x="402"/>
        <item x="181"/>
        <item x="547"/>
        <item x="64"/>
        <item x="248"/>
        <item x="58"/>
        <item x="403"/>
        <item x="922"/>
        <item x="579"/>
        <item x="932"/>
        <item x="483"/>
        <item x="523"/>
        <item x="306"/>
        <item x="488"/>
        <item x="969"/>
        <item x="172"/>
        <item x="410"/>
        <item x="585"/>
        <item x="245"/>
        <item x="286"/>
        <item x="824"/>
        <item x="942"/>
        <item x="240"/>
        <item x="864"/>
        <item x="998"/>
        <item x="757"/>
        <item x="550"/>
        <item x="868"/>
        <item x="628"/>
        <item x="408"/>
        <item x="571"/>
        <item x="833"/>
        <item x="480"/>
        <item x="24"/>
        <item x="845"/>
        <item x="798"/>
        <item x="693"/>
        <item x="63"/>
        <item x="242"/>
        <item x="504"/>
        <item x="695"/>
        <item x="813"/>
        <item x="748"/>
        <item x="218"/>
        <item x="558"/>
        <item x="225"/>
        <item x="151"/>
        <item x="509"/>
        <item x="371"/>
        <item x="587"/>
        <item x="931"/>
        <item x="416"/>
        <item x="399"/>
        <item x="943"/>
        <item x="950"/>
        <item x="228"/>
        <item x="902"/>
        <item x="512"/>
        <item x="391"/>
        <item x="427"/>
        <item x="335"/>
        <item x="889"/>
        <item x="698"/>
        <item x="20"/>
        <item x="799"/>
        <item x="138"/>
        <item x="21"/>
        <item x="775"/>
        <item x="740"/>
        <item x="630"/>
        <item x="168"/>
        <item x="372"/>
        <item x="821"/>
        <item x="307"/>
        <item x="880"/>
        <item x="328"/>
        <item x="41"/>
        <item x="108"/>
        <item x="419"/>
        <item x="960"/>
        <item x="82"/>
        <item x="434"/>
        <item x="277"/>
        <item x="30"/>
        <item x="656"/>
        <item x="590"/>
        <item x="631"/>
        <item x="925"/>
        <item x="970"/>
        <item x="442"/>
        <item x="995"/>
        <item x="774"/>
        <item x="843"/>
        <item x="909"/>
        <item x="955"/>
        <item x="883"/>
        <item x="333"/>
        <item x="779"/>
        <item x="988"/>
        <item x="448"/>
        <item x="900"/>
        <item x="723"/>
        <item x="176"/>
        <item x="765"/>
        <item x="717"/>
        <item x="54"/>
        <item x="377"/>
        <item x="806"/>
        <item x="336"/>
        <item x="272"/>
        <item x="290"/>
        <item x="569"/>
        <item x="379"/>
        <item x="164"/>
        <item x="812"/>
        <item x="771"/>
        <item x="715"/>
        <item x="339"/>
        <item x="137"/>
        <item x="667"/>
        <item x="764"/>
        <item x="497"/>
        <item x="271"/>
        <item x="139"/>
        <item x="815"/>
        <item x="493"/>
        <item x="97"/>
        <item x="683"/>
        <item x="466"/>
        <item x="565"/>
        <item x="601"/>
        <item x="170"/>
        <item x="397"/>
        <item x="415"/>
        <item x="649"/>
        <item x="738"/>
        <item x="818"/>
        <item x="31"/>
        <item x="361"/>
        <item x="743"/>
        <item x="35"/>
        <item x="566"/>
        <item x="198"/>
        <item x="703"/>
        <item x="557"/>
        <item x="5"/>
        <item x="47"/>
        <item x="459"/>
        <item x="160"/>
        <item x="51"/>
        <item x="928"/>
        <item x="975"/>
        <item x="727"/>
        <item x="791"/>
        <item x="65"/>
        <item x="387"/>
        <item x="589"/>
        <item x="848"/>
        <item x="704"/>
        <item x="438"/>
        <item x="451"/>
        <item x="582"/>
        <item x="330"/>
        <item x="206"/>
        <item x="177"/>
        <item x="348"/>
        <item x="835"/>
        <item x="304"/>
        <item x="499"/>
        <item x="18"/>
        <item x="663"/>
        <item x="182"/>
        <item x="276"/>
        <item x="329"/>
        <item x="792"/>
        <item x="468"/>
        <item x="842"/>
        <item x="543"/>
        <item x="607"/>
        <item x="696"/>
        <item x="536"/>
        <item x="175"/>
        <item x="989"/>
        <item x="801"/>
        <item x="755"/>
        <item x="486"/>
        <item x="169"/>
        <item x="921"/>
        <item x="473"/>
        <item x="542"/>
        <item x="503"/>
        <item x="259"/>
        <item x="125"/>
        <item x="531"/>
        <item x="253"/>
        <item x="574"/>
        <item x="886"/>
        <item x="447"/>
        <item x="423"/>
        <item x="187"/>
        <item x="828"/>
        <item x="596"/>
        <item x="266"/>
        <item x="616"/>
        <item x="790"/>
        <item x="762"/>
        <item x="742"/>
        <item x="133"/>
        <item x="444"/>
        <item x="247"/>
        <item x="219"/>
        <item x="274"/>
        <item x="780"/>
        <item x="535"/>
        <item x="0"/>
        <item x="216"/>
        <item x="513"/>
        <item x="597"/>
        <item x="570"/>
        <item x="268"/>
        <item x="143"/>
        <item x="341"/>
        <item x="507"/>
        <item x="45"/>
        <item x="428"/>
        <item x="793"/>
        <item x="33"/>
        <item x="73"/>
        <item x="319"/>
        <item x="568"/>
        <item x="586"/>
        <item x="401"/>
        <item x="155"/>
        <item x="120"/>
        <item x="1"/>
        <item x="284"/>
        <item x="465"/>
        <item x="163"/>
        <item x="375"/>
        <item x="316"/>
        <item x="260"/>
        <item x="534"/>
        <item x="671"/>
        <item x="235"/>
        <item x="256"/>
        <item x="36"/>
        <item x="432"/>
        <item x="346"/>
        <item x="709"/>
        <item x="899"/>
        <item x="501"/>
        <item x="370"/>
        <item x="56"/>
        <item x="817"/>
        <item x="867"/>
        <item x="660"/>
        <item x="25"/>
        <item x="830"/>
        <item x="603"/>
        <item x="308"/>
        <item x="904"/>
        <item x="84"/>
        <item x="604"/>
        <item x="389"/>
        <item x="623"/>
        <item x="912"/>
        <item x="404"/>
        <item x="299"/>
        <item x="263"/>
        <item x="714"/>
        <item x="984"/>
        <item x="440"/>
        <item x="810"/>
        <item x="141"/>
        <item x="321"/>
        <item x="471"/>
        <item x="297"/>
        <item x="195"/>
        <item x="511"/>
        <item x="324"/>
        <item x="332"/>
        <item x="26"/>
        <item x="135"/>
        <item x="773"/>
        <item x="962"/>
        <item x="178"/>
        <item x="367"/>
        <item x="376"/>
        <item x="666"/>
        <item x="111"/>
        <item x="374"/>
        <item x="134"/>
        <item x="189"/>
        <item x="149"/>
        <item x="470"/>
        <item x="323"/>
        <item x="386"/>
        <item x="79"/>
        <item x="873"/>
        <item x="227"/>
        <item x="409"/>
        <item x="522"/>
        <item x="269"/>
        <item x="967"/>
        <item x="652"/>
        <item x="781"/>
        <item x="485"/>
        <item x="559"/>
        <item x="14"/>
        <item x="685"/>
        <item x="487"/>
        <item x="544"/>
        <item x="673"/>
        <item x="114"/>
        <item x="270"/>
        <item x="847"/>
        <item x="627"/>
        <item x="924"/>
        <item x="613"/>
        <item x="739"/>
        <item x="841"/>
        <item x="724"/>
        <item x="694"/>
        <item x="530"/>
        <item x="923"/>
        <item x="109"/>
        <item x="641"/>
        <item x="91"/>
        <item x="42"/>
        <item x="27"/>
        <item x="221"/>
        <item x="331"/>
        <item x="38"/>
        <item x="887"/>
        <item x="836"/>
        <item x="78"/>
        <item x="234"/>
        <item x="822"/>
        <item x="393"/>
        <item x="576"/>
        <item x="866"/>
        <item x="861"/>
        <item x="455"/>
        <item x="767"/>
        <item x="560"/>
        <item x="772"/>
        <item x="502"/>
        <item x="261"/>
        <item x="869"/>
        <item x="994"/>
        <item x="993"/>
        <item x="961"/>
        <item x="173"/>
        <item x="154"/>
        <item x="203"/>
        <item x="644"/>
        <item x="90"/>
        <item x="52"/>
        <item x="495"/>
        <item x="380"/>
        <item x="672"/>
        <item x="711"/>
        <item x="602"/>
        <item x="622"/>
        <item x="215"/>
        <item x="207"/>
        <item x="385"/>
        <item x="345"/>
        <item x="538"/>
        <item x="508"/>
        <item x="17"/>
        <item x="326"/>
        <item x="222"/>
        <item x="519"/>
        <item x="233"/>
        <item x="241"/>
        <item x="57"/>
        <item x="85"/>
        <item x="552"/>
        <item x="86"/>
        <item x="294"/>
        <item x="281"/>
        <item x="940"/>
        <item x="598"/>
        <item x="865"/>
        <item x="289"/>
        <item x="677"/>
        <item x="879"/>
        <item x="946"/>
        <item x="13"/>
        <item x="425"/>
        <item x="686"/>
        <item x="640"/>
        <item x="982"/>
        <item x="926"/>
        <item x="351"/>
        <item x="77"/>
        <item x="834"/>
        <item x="231"/>
        <item x="823"/>
        <item x="659"/>
        <item x="920"/>
        <item x="226"/>
        <item x="106"/>
        <item x="128"/>
        <item x="549"/>
        <item x="130"/>
        <item x="369"/>
        <item x="956"/>
        <item x="915"/>
        <item x="202"/>
        <item x="365"/>
        <item x="204"/>
        <item x="941"/>
        <item x="264"/>
        <item x="239"/>
        <item x="990"/>
        <item x="859"/>
        <item x="997"/>
        <item x="716"/>
        <item x="876"/>
        <item x="745"/>
        <item x="300"/>
        <item x="619"/>
        <item x="737"/>
        <item x="917"/>
        <item x="877"/>
        <item x="838"/>
        <item x="795"/>
        <item x="311"/>
        <item x="725"/>
        <item x="936"/>
        <item x="229"/>
        <item x="238"/>
        <item x="777"/>
        <item x="136"/>
        <item x="418"/>
        <item x="334"/>
        <item x="554"/>
        <item x="741"/>
        <item x="600"/>
        <item x="563"/>
        <item x="489"/>
        <item x="461"/>
        <item x="729"/>
        <item x="405"/>
        <item x="532"/>
        <item x="456"/>
        <item x="121"/>
        <item x="191"/>
        <item x="255"/>
        <item x="477"/>
        <item x="124"/>
        <item x="209"/>
        <item x="516"/>
        <item x="681"/>
        <item x="584"/>
        <item x="894"/>
        <item x="112"/>
        <item x="342"/>
        <item x="83"/>
        <item x="875"/>
        <item x="417"/>
        <item x="476"/>
        <item x="384"/>
        <item x="44"/>
        <item x="971"/>
        <item x="978"/>
        <item x="287"/>
        <item x="770"/>
        <item x="692"/>
        <item x="327"/>
        <item x="285"/>
        <item x="769"/>
        <item x="258"/>
        <item x="174"/>
        <item x="152"/>
        <item x="252"/>
        <item x="355"/>
        <item x="19"/>
        <item x="102"/>
        <item x="578"/>
        <item x="282"/>
        <item x="948"/>
        <item x="857"/>
        <item x="572"/>
        <item x="844"/>
        <item x="911"/>
        <item x="949"/>
        <item x="895"/>
        <item x="933"/>
        <item x="115"/>
        <item x="980"/>
        <item x="562"/>
        <item x="831"/>
        <item x="581"/>
        <item x="633"/>
        <item x="343"/>
        <item x="713"/>
        <item x="728"/>
        <item x="908"/>
        <item x="555"/>
        <item x="796"/>
        <item x="849"/>
        <item x="127"/>
        <item x="230"/>
        <item x="55"/>
        <item x="223"/>
        <item x="366"/>
        <item x="398"/>
        <item x="797"/>
        <item x="763"/>
        <item x="514"/>
        <item x="463"/>
        <item x="529"/>
        <item x="118"/>
        <item x="66"/>
        <item x="966"/>
        <item x="749"/>
        <item x="396"/>
        <item x="310"/>
        <item x="655"/>
        <item x="71"/>
        <item x="540"/>
        <item x="676"/>
        <item x="436"/>
        <item x="184"/>
        <item x="786"/>
        <item x="614"/>
        <item x="934"/>
        <item x="132"/>
        <item x="551"/>
        <item x="629"/>
        <item x="494"/>
        <item x="787"/>
        <item x="662"/>
        <item x="595"/>
        <item x="292"/>
        <item x="855"/>
        <item x="437"/>
        <item x="700"/>
        <item x="650"/>
        <item x="690"/>
        <item x="179"/>
        <item x="421"/>
        <item x="636"/>
        <item x="107"/>
        <item x="354"/>
        <item x="680"/>
        <item x="302"/>
        <item x="344"/>
        <item x="424"/>
        <item x="113"/>
        <item x="760"/>
        <item x="846"/>
        <item x="119"/>
        <item x="789"/>
        <item x="251"/>
        <item x="632"/>
        <item x="669"/>
        <item x="353"/>
        <item x="678"/>
        <item x="910"/>
        <item x="766"/>
        <item x="200"/>
        <item x="81"/>
        <item x="947"/>
        <item x="658"/>
        <item x="34"/>
        <item x="730"/>
        <item x="340"/>
        <item x="193"/>
        <item x="710"/>
        <item x="406"/>
        <item x="642"/>
        <item x="643"/>
        <item x="515"/>
        <item x="275"/>
        <item x="75"/>
        <item x="661"/>
        <item x="592"/>
        <item x="171"/>
        <item x="783"/>
        <item x="720"/>
        <item x="347"/>
        <item x="94"/>
        <item x="2"/>
        <item x="412"/>
        <item x="914"/>
        <item x="422"/>
        <item x="896"/>
        <item x="983"/>
        <item x="43"/>
        <item x="517"/>
        <item x="74"/>
        <item x="262"/>
        <item x="881"/>
        <item x="657"/>
        <item x="959"/>
        <item x="309"/>
        <item x="808"/>
        <item x="528"/>
        <item x="638"/>
        <item x="452"/>
        <item x="878"/>
        <item x="131"/>
        <item x="254"/>
        <item x="95"/>
        <item x="185"/>
        <item x="577"/>
        <item x="944"/>
        <item x="96"/>
        <item x="23"/>
        <item x="761"/>
        <item x="976"/>
        <item x="68"/>
        <item x="890"/>
        <item x="862"/>
        <item t="default"/>
      </items>
    </pivotField>
    <pivotField showAll="0"/>
    <pivotField dataField="1" showAll="0"/>
    <pivotField showAll="0"/>
    <pivotField axis="axisRow" showAll="0" sortType="descending">
      <items count="6">
        <item x="4"/>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5"/>
  </rowFields>
  <rowItems count="6">
    <i>
      <x v="4"/>
    </i>
    <i>
      <x v="1"/>
    </i>
    <i>
      <x v="2"/>
    </i>
    <i>
      <x v="3"/>
    </i>
    <i>
      <x/>
    </i>
    <i t="grand">
      <x/>
    </i>
  </rowItems>
  <colFields count="1">
    <field x="-2"/>
  </colFields>
  <colItems count="3">
    <i>
      <x/>
    </i>
    <i i="1">
      <x v="1"/>
    </i>
    <i i="2">
      <x v="2"/>
    </i>
  </colItems>
  <dataFields count="3">
    <dataField name="Sum of Sales" fld="11" baseField="0" baseItem="0"/>
    <dataField name="Sum of Profit" fld="13" baseField="0" baseItem="0"/>
    <dataField name="Count of Order_ID" fld="0" subtotal="count" baseField="15" baseItem="0"/>
  </dataFields>
  <formats count="2">
    <format dxfId="4">
      <pivotArea collapsedLevelsAreSubtotals="1" fieldPosition="0">
        <references count="2">
          <reference field="4294967294" count="1" selected="0">
            <x v="0"/>
          </reference>
          <reference field="15" count="0"/>
        </references>
      </pivotArea>
    </format>
    <format dxfId="3">
      <pivotArea collapsedLevelsAreSubtotals="1" fieldPosition="0">
        <references count="2">
          <reference field="4294967294" count="1" selected="0">
            <x v="1"/>
          </reference>
          <reference field="1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91C7C3F-16A7-4E19-8D49-1F8348B02A8C}" autoFormatId="16" applyNumberFormats="0" applyBorderFormats="0" applyFontFormats="0" applyPatternFormats="0" applyAlignmentFormats="0" applyWidthHeightFormats="0">
  <queryTableRefresh nextId="22">
    <queryTableFields count="21">
      <queryTableField id="1" name="Order_ID" tableColumnId="1"/>
      <queryTableField id="2" name="Order_Date" tableColumnId="2"/>
      <queryTableField id="3" name="Customer_ID" tableColumnId="3"/>
      <queryTableField id="4" name="Customer_Name" tableColumnId="4"/>
      <queryTableField id="5" name="Region" tableColumnId="5"/>
      <queryTableField id="6" name="City" tableColumnId="6"/>
      <queryTableField id="7" name="Product" tableColumnId="7"/>
      <queryTableField id="8" name="Category" tableColumnId="8"/>
      <queryTableField id="9" name="Quantity" tableColumnId="9"/>
      <queryTableField id="10" name="Unit_Price" tableColumnId="10"/>
      <queryTableField id="11" name="Discount" tableColumnId="11"/>
      <queryTableField id="12" name="Sales" tableColumnId="12"/>
      <queryTableField id="13" name="Cost" tableColumnId="13"/>
      <queryTableField id="14" name="Profit" tableColumnId="14"/>
      <queryTableField id="15" name="Channel" tableColumnId="15"/>
      <queryTableField id="16" name="Payment_Method" tableColumnId="16"/>
      <queryTableField id="17" name="Customer_Segment" tableColumnId="17"/>
      <queryTableField id="18" name="Month" tableColumnId="18"/>
      <queryTableField id="19" name="Month_Number" tableColumnId="19"/>
      <queryTableField id="20" name="Quarter" tableColumnId="20"/>
      <queryTableField id="21" name="Profit_Margin"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F76B5F0-76E1-4151-B0CB-C4198E89ED48}" sourceName="Region">
  <pivotTables>
    <pivotTable tabId="4" name="PivotTable1"/>
    <pivotTable tabId="5" name="PivotTable1"/>
    <pivotTable tabId="9" name="PivotTable5"/>
    <pivotTable tabId="7" name="PivotTable3"/>
    <pivotTable tabId="12" name="PivotTable24"/>
    <pivotTable tabId="6" name="PivotTable2"/>
    <pivotTable tabId="11" name="PivotTable19"/>
  </pivotTables>
  <data>
    <tabular pivotCacheId="1193875902">
      <items count="5">
        <i x="3"/>
        <i x="0"/>
        <i x="4"/>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A8655ED-B0AD-40DC-8366-D691D2459CB8}" sourceName="Product">
  <pivotTables>
    <pivotTable tabId="5" name="PivotTable1"/>
    <pivotTable tabId="9" name="PivotTable5"/>
    <pivotTable tabId="7" name="PivotTable3"/>
    <pivotTable tabId="4" name="PivotTable1"/>
    <pivotTable tabId="11" name="PivotTable19"/>
  </pivotTables>
  <data>
    <tabular pivotCacheId="1193875902">
      <items count="12">
        <i x="6" s="1"/>
        <i x="1" s="1"/>
        <i x="9" s="1"/>
        <i x="7" s="1"/>
        <i x="2" s="1"/>
        <i x="8" s="1"/>
        <i x="11" s="1"/>
        <i x="5" s="1"/>
        <i x="4" s="1"/>
        <i x="0" s="1"/>
        <i x="1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0AC635E-CF76-414C-A426-5A2281E154AB}" sourceName="Category">
  <pivotTables>
    <pivotTable tabId="9" name="PivotTable5"/>
    <pivotTable tabId="5" name="PivotTable1"/>
    <pivotTable tabId="7" name="PivotTable3"/>
    <pivotTable tabId="12" name="PivotTable24"/>
    <pivotTable tabId="6" name="PivotTable2"/>
    <pivotTable tabId="4" name="PivotTable1"/>
    <pivotTable tabId="11" name="PivotTable19"/>
  </pivotTables>
  <data>
    <tabular pivotCacheId="1193875902">
      <items count="5">
        <i x="4" s="1"/>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00E85E0-4413-462E-81E1-09AD62C5845A}" sourceName="Month">
  <pivotTables>
    <pivotTable tabId="7" name="PivotTable3"/>
    <pivotTable tabId="5" name="PivotTable1"/>
    <pivotTable tabId="9" name="PivotTable5"/>
    <pivotTable tabId="4" name="PivotTable1"/>
    <pivotTable tabId="11" name="PivotTable19"/>
  </pivotTables>
  <data>
    <tabular pivotCacheId="1193875902">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BC29945-E9E3-49DF-9251-A5F565DC3CB5}" cache="Slicer_Region" caption="Region" columnCount="2" rowHeight="234950"/>
  <slicer name="Product" xr10:uid="{0D4489D0-2AB1-462B-8B96-D7183A64F022}" cache="Slicer_Product" caption="Product" columnCount="3" rowHeight="234950"/>
  <slicer name="Category" xr10:uid="{3313C49E-4F3A-4F7B-93B3-53F9841B0F9B}" cache="Slicer_Category" caption="Category" columnCount="2" rowHeight="234950"/>
  <slicer name="Month" xr10:uid="{E74F574A-B0F5-465F-A279-102371A50A34}" cache="Slicer_Month" caption="Month" columnCount="1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CC9E32-6BD7-4EBB-A27A-5433BD53F162}" name="SalesData" displayName="SalesData" ref="A1:U1001" tableType="queryTable" totalsRowShown="0">
  <autoFilter ref="A1:U1001" xr:uid="{D3CC9E32-6BD7-4EBB-A27A-5433BD53F162}"/>
  <tableColumns count="21">
    <tableColumn id="1" xr3:uid="{504838B0-0D72-4665-8ACC-900F87D23B2D}" uniqueName="1" name="Order_ID" queryTableFieldId="1"/>
    <tableColumn id="2" xr3:uid="{D0627A6A-3B12-481C-ADD6-D1EC1163873A}" uniqueName="2" name="Order_Date" queryTableFieldId="2" dataDxfId="17"/>
    <tableColumn id="3" xr3:uid="{BE21CB07-F07E-4610-A5BA-5A3A8822AC7A}" uniqueName="3" name="Customer_ID" queryTableFieldId="3" dataDxfId="16"/>
    <tableColumn id="4" xr3:uid="{72B73488-BF80-4534-913A-DBFF5B737A4A}" uniqueName="4" name="Customer_Name" queryTableFieldId="4" dataDxfId="15"/>
    <tableColumn id="5" xr3:uid="{15BA9050-EFA4-480F-8F67-4C4177711B5A}" uniqueName="5" name="Region" queryTableFieldId="5" dataDxfId="14"/>
    <tableColumn id="6" xr3:uid="{9ADFF370-C074-4835-A6D9-2C8E12666151}" uniqueName="6" name="City" queryTableFieldId="6" dataDxfId="13"/>
    <tableColumn id="7" xr3:uid="{B37B89FC-D41B-42A4-B68B-602B91AB0F9E}" uniqueName="7" name="Product" queryTableFieldId="7" dataDxfId="12"/>
    <tableColumn id="8" xr3:uid="{E36FD0DD-EABC-4E13-8D22-FCB1C6AB50DA}" uniqueName="8" name="Category" queryTableFieldId="8" dataDxfId="11"/>
    <tableColumn id="9" xr3:uid="{647FB4A6-B999-4656-AFDB-C7DF4F18B249}" uniqueName="9" name="Quantity" queryTableFieldId="9"/>
    <tableColumn id="10" xr3:uid="{ADB22C83-4C7D-4A20-9F76-830596C971BD}" uniqueName="10" name="Unit_Price" queryTableFieldId="10"/>
    <tableColumn id="11" xr3:uid="{BF51378F-DA38-430D-BE37-518194D5214E}" uniqueName="11" name="Discount" queryTableFieldId="11"/>
    <tableColumn id="12" xr3:uid="{A30F72DF-4A76-44A4-87F2-BD6D29054BF8}" uniqueName="12" name="Sales" queryTableFieldId="12"/>
    <tableColumn id="13" xr3:uid="{1373915B-F204-49B4-9F5C-8DBA3E098389}" uniqueName="13" name="Cost" queryTableFieldId="13"/>
    <tableColumn id="14" xr3:uid="{4DEEAD77-629E-4560-A6B0-40308AC1ABA8}" uniqueName="14" name="Profit" queryTableFieldId="14"/>
    <tableColumn id="15" xr3:uid="{2CFC09CE-7FB0-4DE8-B7B1-BD0699A6ECF9}" uniqueName="15" name="Channel" queryTableFieldId="15" dataDxfId="10"/>
    <tableColumn id="16" xr3:uid="{6B1A4BF3-C62B-4486-91E8-A1207B755C03}" uniqueName="16" name="Payment_Method" queryTableFieldId="16" dataDxfId="9"/>
    <tableColumn id="17" xr3:uid="{0DC4CEEA-6990-41EC-A27C-A41763CD2B77}" uniqueName="17" name="Customer_Segment" queryTableFieldId="17" dataDxfId="8"/>
    <tableColumn id="18" xr3:uid="{78004155-B763-4EC8-BC19-A3C77A3BD384}" uniqueName="18" name="Month" queryTableFieldId="18" dataDxfId="7"/>
    <tableColumn id="19" xr3:uid="{8407519A-0F0F-48DA-8648-12E11A8680C1}" uniqueName="19" name="Month_Number" queryTableFieldId="19"/>
    <tableColumn id="20" xr3:uid="{1403844C-0282-4EBB-AA68-2CDD721CC465}" uniqueName="20" name="Quarter" queryTableFieldId="20" dataDxfId="6"/>
    <tableColumn id="21" xr3:uid="{641F4E6A-DD13-4E14-94BA-1A1BB38ACC0E}" uniqueName="21" name="Profit_Margin" queryTableField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A97E44-E48B-49C4-A861-B1CF53C11B41}" name="Table2" displayName="Table2" ref="A5:D14" totalsRowShown="0" headerRowDxfId="5">
  <autoFilter ref="A5:D14" xr:uid="{A6A97E44-E48B-49C4-A861-B1CF53C11B41}"/>
  <tableColumns count="4">
    <tableColumn id="1" xr3:uid="{EEB1C137-5A84-4110-8B19-B8776D81CCE4}" name="Check"/>
    <tableColumn id="2" xr3:uid="{A655CB0D-2B2A-4839-A0D6-8569218E6E81}" name="Result"/>
    <tableColumn id="3" xr3:uid="{6DD4D17E-08C2-4B28-9873-0042AE241443}" name="Status"/>
    <tableColumn id="4" xr3:uid="{AD7E1885-A642-47C5-B918-D2DFCB27324E}"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F877C-85FC-4A97-BD26-3DFE748AA105}">
  <dimension ref="A1:N47"/>
  <sheetViews>
    <sheetView showGridLines="0" zoomScale="57" workbookViewId="0">
      <selection activeCell="S41" sqref="S41"/>
    </sheetView>
  </sheetViews>
  <sheetFormatPr defaultRowHeight="14.4"/>
  <cols>
    <col min="1" max="1" width="16" customWidth="1"/>
    <col min="5" max="5" width="19" customWidth="1"/>
    <col min="9" max="9" width="24.88671875" customWidth="1"/>
    <col min="14" max="14" width="34.33203125" customWidth="1"/>
  </cols>
  <sheetData>
    <row r="1" spans="1:14" ht="39.6" customHeight="1">
      <c r="A1" s="18" t="s">
        <v>740</v>
      </c>
      <c r="B1" s="18"/>
      <c r="C1" s="18"/>
      <c r="D1" s="18"/>
      <c r="E1" s="18"/>
      <c r="F1" s="18"/>
      <c r="G1" s="18"/>
      <c r="H1" s="18"/>
      <c r="I1" s="18"/>
      <c r="J1" s="18"/>
      <c r="K1" s="18"/>
      <c r="L1" s="18"/>
      <c r="M1" s="18"/>
      <c r="N1" s="18"/>
    </row>
    <row r="2" spans="1:14" ht="21" customHeight="1">
      <c r="A2" s="18"/>
      <c r="B2" s="18"/>
      <c r="C2" s="18"/>
      <c r="D2" s="18"/>
      <c r="E2" s="18"/>
      <c r="F2" s="18"/>
      <c r="G2" s="18"/>
      <c r="H2" s="18"/>
      <c r="I2" s="18"/>
      <c r="J2" s="18"/>
      <c r="K2" s="18"/>
      <c r="L2" s="18"/>
      <c r="M2" s="18"/>
      <c r="N2" s="18"/>
    </row>
    <row r="3" spans="1:14" ht="25.2" customHeight="1" thickBot="1">
      <c r="A3" s="19" t="s">
        <v>733</v>
      </c>
      <c r="B3" s="19"/>
      <c r="C3" s="19"/>
      <c r="D3" s="19"/>
      <c r="E3" s="19"/>
      <c r="F3" s="19"/>
      <c r="G3" s="19"/>
      <c r="H3" s="19"/>
      <c r="I3" s="19"/>
      <c r="J3" s="19"/>
      <c r="K3" s="19"/>
      <c r="L3" s="19"/>
      <c r="M3" s="19"/>
      <c r="N3" s="19"/>
    </row>
    <row r="4" spans="1:14" ht="34.799999999999997" customHeight="1" thickTop="1">
      <c r="A4" s="22" t="s">
        <v>734</v>
      </c>
      <c r="B4" s="23"/>
      <c r="C4" s="23"/>
      <c r="D4" s="23"/>
      <c r="E4" s="24"/>
      <c r="F4" s="22" t="s">
        <v>735</v>
      </c>
      <c r="G4" s="23"/>
      <c r="H4" s="23"/>
      <c r="I4" s="24"/>
      <c r="J4" s="28" t="s">
        <v>736</v>
      </c>
      <c r="K4" s="29"/>
      <c r="L4" s="29"/>
      <c r="M4" s="29"/>
      <c r="N4" s="30"/>
    </row>
    <row r="5" spans="1:14" ht="22.2" customHeight="1" thickBot="1">
      <c r="A5" s="25">
        <f>KPI_Summary!B4</f>
        <v>26693247.130000029</v>
      </c>
      <c r="B5" s="26"/>
      <c r="C5" s="26"/>
      <c r="D5" s="26"/>
      <c r="E5" s="27"/>
      <c r="F5" s="25">
        <f>KPI_Summary!B5</f>
        <v>5218087.1300000008</v>
      </c>
      <c r="G5" s="26"/>
      <c r="H5" s="26"/>
      <c r="I5" s="27"/>
      <c r="J5" s="31">
        <f>KPI_Summary!B6</f>
        <v>2004</v>
      </c>
      <c r="K5" s="32"/>
      <c r="L5" s="32"/>
      <c r="M5" s="32"/>
      <c r="N5" s="33"/>
    </row>
    <row r="6" spans="1:14" ht="15.6" thickTop="1" thickBot="1">
      <c r="A6" s="20"/>
      <c r="B6" s="21"/>
      <c r="C6" s="21"/>
      <c r="D6" s="21"/>
      <c r="E6" s="21"/>
      <c r="F6" s="21"/>
      <c r="G6" s="21"/>
      <c r="H6" s="21"/>
      <c r="I6" s="21"/>
      <c r="J6" s="21"/>
      <c r="K6" s="21"/>
      <c r="L6" s="21"/>
      <c r="M6" s="21"/>
      <c r="N6" s="21"/>
    </row>
    <row r="7" spans="1:14" ht="18.600000000000001" thickTop="1">
      <c r="A7" s="34" t="s">
        <v>738</v>
      </c>
      <c r="B7" s="35"/>
      <c r="C7" s="35"/>
      <c r="D7" s="35"/>
      <c r="E7" s="36"/>
      <c r="F7" s="34" t="s">
        <v>739</v>
      </c>
      <c r="G7" s="35"/>
      <c r="H7" s="35"/>
      <c r="I7" s="36"/>
      <c r="J7" s="37" t="s">
        <v>737</v>
      </c>
      <c r="K7" s="38"/>
      <c r="L7" s="38"/>
      <c r="M7" s="38"/>
      <c r="N7" s="39"/>
    </row>
    <row r="8" spans="1:14" ht="21.6" thickBot="1">
      <c r="A8" s="31">
        <f>KPI_Summary!B7</f>
        <v>1000</v>
      </c>
      <c r="B8" s="32"/>
      <c r="C8" s="32"/>
      <c r="D8" s="32"/>
      <c r="E8" s="33"/>
      <c r="F8" s="31">
        <f>KPI_Summary!B8</f>
        <v>26693.247130000029</v>
      </c>
      <c r="G8" s="32"/>
      <c r="H8" s="32"/>
      <c r="I8" s="33"/>
      <c r="J8" s="40">
        <f>KPI_Summary!B9</f>
        <v>0.19548341588369339</v>
      </c>
      <c r="K8" s="32"/>
      <c r="L8" s="32"/>
      <c r="M8" s="32"/>
      <c r="N8" s="33"/>
    </row>
    <row r="9" spans="1:14" ht="15" thickTop="1"/>
    <row r="37" spans="1:14">
      <c r="E37" s="21"/>
      <c r="F37" s="21"/>
      <c r="G37" s="21"/>
      <c r="H37" s="21"/>
      <c r="I37" s="21"/>
      <c r="J37" s="21"/>
      <c r="K37" s="21"/>
      <c r="L37" s="21"/>
    </row>
    <row r="38" spans="1:14">
      <c r="E38" s="21"/>
      <c r="F38" s="21"/>
      <c r="G38" s="21"/>
      <c r="H38" s="21"/>
      <c r="I38" s="21"/>
      <c r="J38" s="21"/>
      <c r="K38" s="21"/>
      <c r="L38" s="21"/>
    </row>
    <row r="39" spans="1:14">
      <c r="E39" s="21"/>
      <c r="F39" s="21"/>
      <c r="G39" s="21"/>
      <c r="H39" s="21"/>
      <c r="I39" s="21"/>
      <c r="J39" s="21"/>
      <c r="K39" s="21"/>
      <c r="L39" s="21"/>
    </row>
    <row r="40" spans="1:14">
      <c r="E40" s="21"/>
      <c r="F40" s="21"/>
      <c r="G40" s="21"/>
      <c r="H40" s="21"/>
      <c r="I40" s="21"/>
      <c r="J40" s="21"/>
      <c r="K40" s="21"/>
      <c r="L40" s="21"/>
      <c r="M40" s="21"/>
      <c r="N40" s="21"/>
    </row>
    <row r="41" spans="1:14">
      <c r="E41" s="21"/>
      <c r="F41" s="21"/>
      <c r="G41" s="21"/>
      <c r="H41" s="21"/>
      <c r="I41" s="21"/>
      <c r="J41" s="21"/>
      <c r="K41" s="21"/>
      <c r="L41" s="21"/>
      <c r="M41" s="21"/>
      <c r="N41" s="21"/>
    </row>
    <row r="42" spans="1:14">
      <c r="E42" s="21"/>
      <c r="F42" s="21"/>
      <c r="G42" s="21"/>
      <c r="H42" s="21"/>
      <c r="I42" s="21"/>
      <c r="J42" s="21"/>
      <c r="K42" s="21"/>
      <c r="L42" s="21"/>
      <c r="M42" s="21"/>
      <c r="N42" s="21"/>
    </row>
    <row r="43" spans="1:14">
      <c r="E43" s="21"/>
      <c r="F43" s="21"/>
      <c r="G43" s="21"/>
      <c r="H43" s="21"/>
      <c r="I43" s="21"/>
      <c r="J43" s="21"/>
      <c r="K43" s="21"/>
      <c r="L43" s="21"/>
      <c r="M43" s="21"/>
      <c r="N43" s="21"/>
    </row>
    <row r="44" spans="1:14">
      <c r="A44" s="21"/>
      <c r="B44" s="21"/>
      <c r="C44" s="21"/>
      <c r="D44" s="21"/>
      <c r="E44" s="21"/>
      <c r="F44" s="21"/>
      <c r="G44" s="21"/>
      <c r="H44" s="21"/>
      <c r="I44" s="21"/>
      <c r="J44" s="21"/>
      <c r="K44" s="21"/>
      <c r="L44" s="21"/>
      <c r="M44" s="21"/>
      <c r="N44" s="21"/>
    </row>
    <row r="45" spans="1:14">
      <c r="A45" s="21"/>
      <c r="B45" s="21"/>
      <c r="C45" s="21"/>
      <c r="D45" s="21"/>
      <c r="E45" s="21"/>
      <c r="F45" s="21"/>
      <c r="G45" s="21"/>
      <c r="H45" s="21"/>
      <c r="I45" s="21"/>
      <c r="J45" s="21"/>
      <c r="K45" s="21"/>
      <c r="L45" s="21"/>
      <c r="M45" s="21"/>
      <c r="N45" s="21"/>
    </row>
    <row r="46" spans="1:14">
      <c r="A46" s="21"/>
      <c r="B46" s="21"/>
      <c r="C46" s="21"/>
      <c r="D46" s="21"/>
      <c r="E46" s="21"/>
      <c r="F46" s="21"/>
      <c r="G46" s="21"/>
      <c r="H46" s="21"/>
      <c r="I46" s="21"/>
      <c r="J46" s="21"/>
      <c r="K46" s="21"/>
      <c r="L46" s="21"/>
      <c r="M46" s="21"/>
      <c r="N46" s="21"/>
    </row>
    <row r="47" spans="1:14">
      <c r="A47" s="21"/>
      <c r="B47" s="21"/>
      <c r="C47" s="21"/>
      <c r="D47" s="21"/>
      <c r="E47" s="21"/>
      <c r="F47" s="21"/>
      <c r="G47" s="21"/>
      <c r="H47" s="21"/>
      <c r="I47" s="21"/>
      <c r="J47" s="21"/>
      <c r="K47" s="21"/>
      <c r="L47" s="21"/>
      <c r="M47" s="21"/>
      <c r="N47" s="21"/>
    </row>
  </sheetData>
  <mergeCells count="14">
    <mergeCell ref="A7:E7"/>
    <mergeCell ref="F7:I7"/>
    <mergeCell ref="J7:N7"/>
    <mergeCell ref="A8:E8"/>
    <mergeCell ref="F8:I8"/>
    <mergeCell ref="J8:N8"/>
    <mergeCell ref="A4:E4"/>
    <mergeCell ref="F4:I4"/>
    <mergeCell ref="J4:N4"/>
    <mergeCell ref="A5:E5"/>
    <mergeCell ref="F5:I5"/>
    <mergeCell ref="J5:N5"/>
    <mergeCell ref="A1:N2"/>
    <mergeCell ref="A3:N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A126E-6F40-430E-A318-1C30F602C8B2}">
  <dimension ref="A1:AR1001"/>
  <sheetViews>
    <sheetView topLeftCell="A2" zoomScaleNormal="100" workbookViewId="0">
      <selection activeCell="D9" sqref="D9"/>
    </sheetView>
  </sheetViews>
  <sheetFormatPr defaultRowHeight="14.4"/>
  <cols>
    <col min="1" max="1" width="10.77734375" bestFit="1" customWidth="1"/>
    <col min="2" max="2" width="12.88671875" bestFit="1" customWidth="1"/>
    <col min="3" max="3" width="14.109375" bestFit="1" customWidth="1"/>
    <col min="4" max="4" width="17.44140625" bestFit="1" customWidth="1"/>
    <col min="5" max="5" width="9" bestFit="1" customWidth="1"/>
    <col min="6" max="6" width="12" bestFit="1" customWidth="1"/>
    <col min="7" max="7" width="11.5546875" bestFit="1" customWidth="1"/>
    <col min="8" max="8" width="10.77734375" bestFit="1" customWidth="1"/>
    <col min="9" max="9" width="10.5546875" bestFit="1" customWidth="1"/>
    <col min="10" max="10" width="11.88671875" bestFit="1" customWidth="1"/>
    <col min="11" max="11" width="10.5546875" bestFit="1" customWidth="1"/>
    <col min="12" max="13" width="10" bestFit="1" customWidth="1"/>
    <col min="14" max="14" width="9" bestFit="1" customWidth="1"/>
    <col min="15" max="15" width="10.109375" bestFit="1" customWidth="1"/>
    <col min="16" max="16" width="18.6640625" bestFit="1" customWidth="1"/>
    <col min="17" max="17" width="20" bestFit="1" customWidth="1"/>
    <col min="18" max="18" width="9" bestFit="1" customWidth="1"/>
    <col min="19" max="19" width="17" bestFit="1" customWidth="1"/>
    <col min="20" max="20" width="9.6640625" bestFit="1" customWidth="1"/>
    <col min="21" max="21" width="14.88671875" bestFit="1" customWidth="1"/>
    <col min="24" max="24" width="23.77734375" bestFit="1" customWidth="1"/>
    <col min="25" max="25" width="33.21875" bestFit="1" customWidth="1"/>
    <col min="29" max="29" width="12.33203125" bestFit="1" customWidth="1"/>
    <col min="31" max="31" width="10" bestFit="1"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5">
      <c r="A2">
        <v>476</v>
      </c>
      <c r="B2" s="1">
        <v>45658</v>
      </c>
      <c r="C2" t="s">
        <v>21</v>
      </c>
      <c r="D2" t="s">
        <v>22</v>
      </c>
      <c r="E2" t="s">
        <v>23</v>
      </c>
      <c r="F2" t="s">
        <v>24</v>
      </c>
      <c r="G2" t="s">
        <v>25</v>
      </c>
      <c r="H2" t="s">
        <v>26</v>
      </c>
      <c r="I2">
        <v>2</v>
      </c>
      <c r="J2">
        <v>8116.61</v>
      </c>
      <c r="K2">
        <v>0.1</v>
      </c>
      <c r="L2">
        <v>14609.9</v>
      </c>
      <c r="M2">
        <v>12361.71</v>
      </c>
      <c r="N2">
        <v>2248.19</v>
      </c>
      <c r="O2" t="s">
        <v>27</v>
      </c>
      <c r="P2" t="s">
        <v>28</v>
      </c>
      <c r="Q2" t="s">
        <v>29</v>
      </c>
      <c r="R2" t="s">
        <v>30</v>
      </c>
      <c r="S2">
        <v>1</v>
      </c>
      <c r="T2" t="s">
        <v>31</v>
      </c>
      <c r="U2">
        <v>0.15388127228796913</v>
      </c>
    </row>
    <row r="3" spans="1:25">
      <c r="A3">
        <v>222</v>
      </c>
      <c r="B3" s="1">
        <v>45658</v>
      </c>
      <c r="C3" t="s">
        <v>32</v>
      </c>
      <c r="D3" t="s">
        <v>33</v>
      </c>
      <c r="E3" t="s">
        <v>34</v>
      </c>
      <c r="F3" t="s">
        <v>35</v>
      </c>
      <c r="G3" t="s">
        <v>36</v>
      </c>
      <c r="H3" t="s">
        <v>37</v>
      </c>
      <c r="I3">
        <v>4</v>
      </c>
      <c r="J3">
        <v>4045.81</v>
      </c>
      <c r="K3">
        <v>0</v>
      </c>
      <c r="L3">
        <v>16183.24</v>
      </c>
      <c r="M3">
        <v>12790.8</v>
      </c>
      <c r="N3">
        <v>3392.44</v>
      </c>
      <c r="O3" t="s">
        <v>38</v>
      </c>
      <c r="P3" t="s">
        <v>39</v>
      </c>
      <c r="Q3" t="s">
        <v>40</v>
      </c>
      <c r="R3" t="s">
        <v>30</v>
      </c>
      <c r="S3">
        <v>1</v>
      </c>
      <c r="T3" t="s">
        <v>31</v>
      </c>
      <c r="U3">
        <v>0.20962674964963754</v>
      </c>
    </row>
    <row r="4" spans="1:25">
      <c r="A4">
        <v>835</v>
      </c>
      <c r="B4" s="1">
        <v>45658</v>
      </c>
      <c r="C4" t="s">
        <v>41</v>
      </c>
      <c r="D4" t="s">
        <v>42</v>
      </c>
      <c r="E4" t="s">
        <v>23</v>
      </c>
      <c r="F4" t="s">
        <v>43</v>
      </c>
      <c r="G4" t="s">
        <v>44</v>
      </c>
      <c r="H4" t="s">
        <v>26</v>
      </c>
      <c r="I4">
        <v>2</v>
      </c>
      <c r="J4">
        <v>73738.990000000005</v>
      </c>
      <c r="K4">
        <v>0.02</v>
      </c>
      <c r="L4">
        <v>144528.42000000001</v>
      </c>
      <c r="M4">
        <v>116899.79</v>
      </c>
      <c r="N4">
        <v>27628.63</v>
      </c>
      <c r="O4" t="s">
        <v>38</v>
      </c>
      <c r="P4" t="s">
        <v>45</v>
      </c>
      <c r="Q4" t="s">
        <v>46</v>
      </c>
      <c r="R4" t="s">
        <v>30</v>
      </c>
      <c r="S4">
        <v>1</v>
      </c>
      <c r="T4" t="s">
        <v>31</v>
      </c>
      <c r="U4">
        <v>0.19116399390514335</v>
      </c>
    </row>
    <row r="5" spans="1:25">
      <c r="A5">
        <v>585</v>
      </c>
      <c r="B5" s="1">
        <v>45659</v>
      </c>
      <c r="C5" t="s">
        <v>47</v>
      </c>
      <c r="D5" t="s">
        <v>48</v>
      </c>
      <c r="E5" t="s">
        <v>34</v>
      </c>
      <c r="F5" t="s">
        <v>49</v>
      </c>
      <c r="G5" t="s">
        <v>50</v>
      </c>
      <c r="H5" t="s">
        <v>51</v>
      </c>
      <c r="I5">
        <v>1</v>
      </c>
      <c r="J5">
        <v>1122.78</v>
      </c>
      <c r="K5">
        <v>0.02</v>
      </c>
      <c r="L5">
        <v>1100.32</v>
      </c>
      <c r="M5">
        <v>767.24</v>
      </c>
      <c r="N5">
        <v>333.08</v>
      </c>
      <c r="O5" t="s">
        <v>38</v>
      </c>
      <c r="P5" t="s">
        <v>39</v>
      </c>
      <c r="Q5" t="s">
        <v>29</v>
      </c>
      <c r="R5" t="s">
        <v>30</v>
      </c>
      <c r="S5">
        <v>1</v>
      </c>
      <c r="T5" t="s">
        <v>31</v>
      </c>
      <c r="U5">
        <v>0.30271193834520865</v>
      </c>
    </row>
    <row r="6" spans="1:25">
      <c r="A6">
        <v>306</v>
      </c>
      <c r="B6" s="1">
        <v>45659</v>
      </c>
      <c r="C6" t="s">
        <v>52</v>
      </c>
      <c r="D6" t="s">
        <v>53</v>
      </c>
      <c r="E6" t="s">
        <v>54</v>
      </c>
      <c r="F6" t="s">
        <v>55</v>
      </c>
      <c r="G6" t="s">
        <v>50</v>
      </c>
      <c r="H6" t="s">
        <v>51</v>
      </c>
      <c r="I6">
        <v>2</v>
      </c>
      <c r="J6">
        <v>1338.35</v>
      </c>
      <c r="K6">
        <v>0.1</v>
      </c>
      <c r="L6">
        <v>2409.0300000000002</v>
      </c>
      <c r="M6">
        <v>2094.54</v>
      </c>
      <c r="N6">
        <v>314.49</v>
      </c>
      <c r="O6" t="s">
        <v>27</v>
      </c>
      <c r="P6" t="s">
        <v>39</v>
      </c>
      <c r="Q6" t="s">
        <v>40</v>
      </c>
      <c r="R6" t="s">
        <v>30</v>
      </c>
      <c r="S6">
        <v>1</v>
      </c>
      <c r="T6" t="s">
        <v>31</v>
      </c>
      <c r="U6">
        <v>0.1305463194729829</v>
      </c>
    </row>
    <row r="7" spans="1:25">
      <c r="A7">
        <v>371</v>
      </c>
      <c r="B7" s="1">
        <v>45659</v>
      </c>
      <c r="C7" t="s">
        <v>56</v>
      </c>
      <c r="D7" t="s">
        <v>57</v>
      </c>
      <c r="E7" t="s">
        <v>23</v>
      </c>
      <c r="F7" t="s">
        <v>58</v>
      </c>
      <c r="G7" t="s">
        <v>59</v>
      </c>
      <c r="H7" t="s">
        <v>37</v>
      </c>
      <c r="I7">
        <v>2</v>
      </c>
      <c r="J7">
        <v>5083.66</v>
      </c>
      <c r="K7">
        <v>0</v>
      </c>
      <c r="L7">
        <v>10167.32</v>
      </c>
      <c r="M7">
        <v>8160.77</v>
      </c>
      <c r="N7">
        <v>2006.55</v>
      </c>
      <c r="O7" t="s">
        <v>38</v>
      </c>
      <c r="P7" t="s">
        <v>28</v>
      </c>
      <c r="Q7" t="s">
        <v>40</v>
      </c>
      <c r="R7" t="s">
        <v>30</v>
      </c>
      <c r="S7">
        <v>1</v>
      </c>
      <c r="T7" t="s">
        <v>31</v>
      </c>
      <c r="U7">
        <v>0.19735289142074805</v>
      </c>
    </row>
    <row r="8" spans="1:25">
      <c r="A8">
        <v>554</v>
      </c>
      <c r="B8" s="1">
        <v>45661</v>
      </c>
      <c r="C8" t="s">
        <v>60</v>
      </c>
      <c r="D8" t="s">
        <v>61</v>
      </c>
      <c r="E8" t="s">
        <v>23</v>
      </c>
      <c r="F8" t="s">
        <v>58</v>
      </c>
      <c r="G8" t="s">
        <v>62</v>
      </c>
      <c r="H8" t="s">
        <v>63</v>
      </c>
      <c r="I8">
        <v>1</v>
      </c>
      <c r="J8">
        <v>234.74</v>
      </c>
      <c r="K8">
        <v>0.15</v>
      </c>
      <c r="L8">
        <v>199.53</v>
      </c>
      <c r="M8">
        <v>178.79</v>
      </c>
      <c r="N8">
        <v>20.74</v>
      </c>
      <c r="O8" t="s">
        <v>27</v>
      </c>
      <c r="P8" t="s">
        <v>28</v>
      </c>
      <c r="Q8" t="s">
        <v>40</v>
      </c>
      <c r="R8" t="s">
        <v>30</v>
      </c>
      <c r="S8">
        <v>1</v>
      </c>
      <c r="T8" t="s">
        <v>31</v>
      </c>
      <c r="U8">
        <v>0.10394426903222573</v>
      </c>
    </row>
    <row r="9" spans="1:25">
      <c r="A9">
        <v>36</v>
      </c>
      <c r="B9" s="1">
        <v>45661</v>
      </c>
      <c r="C9" t="s">
        <v>64</v>
      </c>
      <c r="D9" t="s">
        <v>65</v>
      </c>
      <c r="E9" t="s">
        <v>54</v>
      </c>
      <c r="F9" t="s">
        <v>55</v>
      </c>
      <c r="G9" t="s">
        <v>66</v>
      </c>
      <c r="H9" t="s">
        <v>51</v>
      </c>
      <c r="I9">
        <v>1</v>
      </c>
      <c r="J9">
        <v>2527.2399999999998</v>
      </c>
      <c r="K9">
        <v>0</v>
      </c>
      <c r="L9">
        <v>2527.2399999999998</v>
      </c>
      <c r="M9">
        <v>1921.3</v>
      </c>
      <c r="N9">
        <v>605.94000000000005</v>
      </c>
      <c r="O9" t="s">
        <v>27</v>
      </c>
      <c r="P9" t="s">
        <v>45</v>
      </c>
      <c r="Q9" t="s">
        <v>29</v>
      </c>
      <c r="R9" t="s">
        <v>30</v>
      </c>
      <c r="S9">
        <v>1</v>
      </c>
      <c r="T9" t="s">
        <v>31</v>
      </c>
      <c r="U9">
        <v>0.23976353650622817</v>
      </c>
    </row>
    <row r="10" spans="1:25">
      <c r="A10">
        <v>108</v>
      </c>
      <c r="B10" s="1">
        <v>45661</v>
      </c>
      <c r="C10" t="s">
        <v>67</v>
      </c>
      <c r="D10" t="s">
        <v>68</v>
      </c>
      <c r="E10" t="s">
        <v>34</v>
      </c>
      <c r="F10" t="s">
        <v>35</v>
      </c>
      <c r="G10" t="s">
        <v>69</v>
      </c>
      <c r="H10" t="s">
        <v>70</v>
      </c>
      <c r="I10">
        <v>1</v>
      </c>
      <c r="J10">
        <v>2231.7199999999998</v>
      </c>
      <c r="K10">
        <v>0.1</v>
      </c>
      <c r="L10">
        <v>2008.55</v>
      </c>
      <c r="M10">
        <v>1715.82</v>
      </c>
      <c r="N10">
        <v>292.73</v>
      </c>
      <c r="O10" t="s">
        <v>27</v>
      </c>
      <c r="P10" t="s">
        <v>71</v>
      </c>
      <c r="Q10" t="s">
        <v>40</v>
      </c>
      <c r="R10" t="s">
        <v>30</v>
      </c>
      <c r="S10">
        <v>1</v>
      </c>
      <c r="T10" t="s">
        <v>31</v>
      </c>
      <c r="U10">
        <v>0.14574195315028254</v>
      </c>
      <c r="X10" t="s">
        <v>666</v>
      </c>
      <c r="Y10" t="s">
        <v>667</v>
      </c>
    </row>
    <row r="11" spans="1:25">
      <c r="A11">
        <v>555</v>
      </c>
      <c r="B11" s="1">
        <v>45661</v>
      </c>
      <c r="C11" t="s">
        <v>72</v>
      </c>
      <c r="D11" t="s">
        <v>73</v>
      </c>
      <c r="E11" t="s">
        <v>23</v>
      </c>
      <c r="F11" t="s">
        <v>58</v>
      </c>
      <c r="G11" t="s">
        <v>66</v>
      </c>
      <c r="H11" t="s">
        <v>51</v>
      </c>
      <c r="I11">
        <v>2</v>
      </c>
      <c r="J11">
        <v>919.22</v>
      </c>
      <c r="K11">
        <v>0.05</v>
      </c>
      <c r="L11">
        <v>1746.52</v>
      </c>
      <c r="M11">
        <v>1206.43</v>
      </c>
      <c r="N11">
        <v>540.09</v>
      </c>
      <c r="O11" t="s">
        <v>27</v>
      </c>
      <c r="P11" t="s">
        <v>28</v>
      </c>
      <c r="Q11" t="s">
        <v>29</v>
      </c>
      <c r="R11" t="s">
        <v>30</v>
      </c>
      <c r="S11">
        <v>1</v>
      </c>
      <c r="T11" t="s">
        <v>31</v>
      </c>
      <c r="U11">
        <v>0.30923779859377509</v>
      </c>
      <c r="X11" t="s">
        <v>668</v>
      </c>
      <c r="Y11">
        <f>ROWS(SalesData[Sales])</f>
        <v>1000</v>
      </c>
    </row>
    <row r="12" spans="1:25">
      <c r="A12">
        <v>944</v>
      </c>
      <c r="B12" s="1">
        <v>45661</v>
      </c>
      <c r="C12" t="s">
        <v>74</v>
      </c>
      <c r="D12" t="s">
        <v>75</v>
      </c>
      <c r="E12" t="s">
        <v>76</v>
      </c>
      <c r="F12" t="s">
        <v>77</v>
      </c>
      <c r="G12" t="s">
        <v>69</v>
      </c>
      <c r="H12" t="s">
        <v>70</v>
      </c>
      <c r="I12">
        <v>1</v>
      </c>
      <c r="J12">
        <v>2748.08</v>
      </c>
      <c r="K12">
        <v>0.02</v>
      </c>
      <c r="L12">
        <v>2693.12</v>
      </c>
      <c r="M12">
        <v>2304.65</v>
      </c>
      <c r="N12">
        <v>388.47</v>
      </c>
      <c r="O12" t="s">
        <v>27</v>
      </c>
      <c r="P12" t="s">
        <v>78</v>
      </c>
      <c r="Q12" t="s">
        <v>40</v>
      </c>
      <c r="R12" t="s">
        <v>30</v>
      </c>
      <c r="S12">
        <v>1</v>
      </c>
      <c r="T12" t="s">
        <v>31</v>
      </c>
      <c r="U12">
        <v>0.14424533626425856</v>
      </c>
      <c r="X12" t="s">
        <v>669</v>
      </c>
      <c r="Y12">
        <f>COUNTBLANK(SalesData[Sales])</f>
        <v>0</v>
      </c>
    </row>
    <row r="13" spans="1:25">
      <c r="A13">
        <v>396</v>
      </c>
      <c r="B13" s="1">
        <v>45661</v>
      </c>
      <c r="C13" t="s">
        <v>79</v>
      </c>
      <c r="D13" t="s">
        <v>80</v>
      </c>
      <c r="E13" t="s">
        <v>76</v>
      </c>
      <c r="F13" t="s">
        <v>81</v>
      </c>
      <c r="G13" t="s">
        <v>69</v>
      </c>
      <c r="H13" t="s">
        <v>70</v>
      </c>
      <c r="I13">
        <v>1</v>
      </c>
      <c r="J13">
        <v>821.76</v>
      </c>
      <c r="K13">
        <v>0.15</v>
      </c>
      <c r="L13">
        <v>698.5</v>
      </c>
      <c r="M13">
        <v>601.64</v>
      </c>
      <c r="N13">
        <v>96.86</v>
      </c>
      <c r="O13" t="s">
        <v>27</v>
      </c>
      <c r="P13" t="s">
        <v>45</v>
      </c>
      <c r="Q13" t="s">
        <v>40</v>
      </c>
      <c r="R13" t="s">
        <v>30</v>
      </c>
      <c r="S13">
        <v>1</v>
      </c>
      <c r="T13" t="s">
        <v>31</v>
      </c>
      <c r="U13">
        <v>0.13866857551896922</v>
      </c>
      <c r="X13" t="s">
        <v>670</v>
      </c>
      <c r="Y13">
        <f>COUNT(SalesData[Sales])</f>
        <v>1000</v>
      </c>
    </row>
    <row r="14" spans="1:25">
      <c r="A14">
        <v>253</v>
      </c>
      <c r="B14" s="1">
        <v>45662</v>
      </c>
      <c r="C14" t="s">
        <v>82</v>
      </c>
      <c r="D14" t="s">
        <v>83</v>
      </c>
      <c r="E14" t="s">
        <v>76</v>
      </c>
      <c r="F14" t="s">
        <v>81</v>
      </c>
      <c r="G14" t="s">
        <v>62</v>
      </c>
      <c r="H14" t="s">
        <v>63</v>
      </c>
      <c r="I14">
        <v>3</v>
      </c>
      <c r="J14">
        <v>92.15</v>
      </c>
      <c r="K14">
        <v>0.05</v>
      </c>
      <c r="L14">
        <v>262.63</v>
      </c>
      <c r="M14">
        <v>210.88</v>
      </c>
      <c r="N14">
        <v>51.75</v>
      </c>
      <c r="O14" t="s">
        <v>38</v>
      </c>
      <c r="P14" t="s">
        <v>45</v>
      </c>
      <c r="Q14" t="s">
        <v>40</v>
      </c>
      <c r="R14" t="s">
        <v>30</v>
      </c>
      <c r="S14">
        <v>1</v>
      </c>
      <c r="T14" t="s">
        <v>31</v>
      </c>
      <c r="U14">
        <v>0.19704527281727144</v>
      </c>
      <c r="X14" t="s">
        <v>671</v>
      </c>
      <c r="Y14">
        <f>MIN(SalesData[Sales])</f>
        <v>68.37</v>
      </c>
    </row>
    <row r="15" spans="1:25">
      <c r="A15">
        <v>559</v>
      </c>
      <c r="B15" s="1">
        <v>45662</v>
      </c>
      <c r="C15" t="s">
        <v>84</v>
      </c>
      <c r="D15" t="s">
        <v>85</v>
      </c>
      <c r="E15" t="s">
        <v>34</v>
      </c>
      <c r="F15" t="s">
        <v>86</v>
      </c>
      <c r="G15" t="s">
        <v>25</v>
      </c>
      <c r="H15" t="s">
        <v>26</v>
      </c>
      <c r="I15">
        <v>2</v>
      </c>
      <c r="J15">
        <v>18028.77</v>
      </c>
      <c r="K15">
        <v>0.05</v>
      </c>
      <c r="L15">
        <v>34254.660000000003</v>
      </c>
      <c r="M15">
        <v>26803.48</v>
      </c>
      <c r="N15">
        <v>7451.18</v>
      </c>
      <c r="O15" t="s">
        <v>27</v>
      </c>
      <c r="P15" t="s">
        <v>71</v>
      </c>
      <c r="Q15" t="s">
        <v>40</v>
      </c>
      <c r="R15" t="s">
        <v>30</v>
      </c>
      <c r="S15">
        <v>1</v>
      </c>
      <c r="T15" t="s">
        <v>31</v>
      </c>
      <c r="U15">
        <v>0.21752310488558343</v>
      </c>
      <c r="X15" t="s">
        <v>672</v>
      </c>
      <c r="Y15">
        <f>MAX(SalesData[Sales])</f>
        <v>294246.68</v>
      </c>
    </row>
    <row r="16" spans="1:25">
      <c r="A16">
        <v>791</v>
      </c>
      <c r="B16" s="1">
        <v>45662</v>
      </c>
      <c r="C16" t="s">
        <v>87</v>
      </c>
      <c r="D16" t="s">
        <v>88</v>
      </c>
      <c r="E16" t="s">
        <v>23</v>
      </c>
      <c r="F16" t="s">
        <v>58</v>
      </c>
      <c r="G16" t="s">
        <v>59</v>
      </c>
      <c r="H16" t="s">
        <v>37</v>
      </c>
      <c r="I16">
        <v>2</v>
      </c>
      <c r="J16">
        <v>11550.55</v>
      </c>
      <c r="K16">
        <v>0</v>
      </c>
      <c r="L16">
        <v>23101.1</v>
      </c>
      <c r="M16">
        <v>16115.85</v>
      </c>
      <c r="N16">
        <v>6985.25</v>
      </c>
      <c r="O16" t="s">
        <v>38</v>
      </c>
      <c r="P16" t="s">
        <v>45</v>
      </c>
      <c r="Q16" t="s">
        <v>46</v>
      </c>
      <c r="R16" t="s">
        <v>30</v>
      </c>
      <c r="S16">
        <v>1</v>
      </c>
      <c r="T16" t="s">
        <v>31</v>
      </c>
      <c r="U16">
        <v>0.30237737596910974</v>
      </c>
      <c r="X16" t="s">
        <v>673</v>
      </c>
      <c r="Y16">
        <f>COUNTIF(SalesData[Profit],"&lt;0")</f>
        <v>18</v>
      </c>
    </row>
    <row r="17" spans="1:44">
      <c r="A17">
        <v>114</v>
      </c>
      <c r="B17" s="1">
        <v>45662</v>
      </c>
      <c r="C17" t="s">
        <v>89</v>
      </c>
      <c r="D17" t="s">
        <v>90</v>
      </c>
      <c r="E17" t="s">
        <v>34</v>
      </c>
      <c r="F17" t="s">
        <v>86</v>
      </c>
      <c r="G17" t="s">
        <v>66</v>
      </c>
      <c r="H17" t="s">
        <v>51</v>
      </c>
      <c r="I17">
        <v>1</v>
      </c>
      <c r="J17">
        <v>995.5</v>
      </c>
      <c r="K17">
        <v>0.05</v>
      </c>
      <c r="L17">
        <v>945.72</v>
      </c>
      <c r="M17">
        <v>831.06</v>
      </c>
      <c r="N17">
        <v>114.66</v>
      </c>
      <c r="O17" t="s">
        <v>38</v>
      </c>
      <c r="P17" t="s">
        <v>28</v>
      </c>
      <c r="Q17" t="s">
        <v>29</v>
      </c>
      <c r="R17" t="s">
        <v>30</v>
      </c>
      <c r="S17">
        <v>1</v>
      </c>
      <c r="T17" t="s">
        <v>31</v>
      </c>
      <c r="U17">
        <v>0.12124095926912827</v>
      </c>
      <c r="X17" t="s">
        <v>674</v>
      </c>
      <c r="Y17">
        <f>COUNTIF(SalesData[Quantity],"&lt;=0")</f>
        <v>0</v>
      </c>
    </row>
    <row r="18" spans="1:44">
      <c r="A18">
        <v>76</v>
      </c>
      <c r="B18" s="1">
        <v>45662</v>
      </c>
      <c r="C18" t="s">
        <v>91</v>
      </c>
      <c r="D18" t="s">
        <v>92</v>
      </c>
      <c r="E18" t="s">
        <v>23</v>
      </c>
      <c r="F18" t="s">
        <v>58</v>
      </c>
      <c r="G18" t="s">
        <v>69</v>
      </c>
      <c r="H18" t="s">
        <v>70</v>
      </c>
      <c r="I18">
        <v>3</v>
      </c>
      <c r="J18">
        <v>1344.39</v>
      </c>
      <c r="K18">
        <v>0.05</v>
      </c>
      <c r="L18">
        <v>3831.51</v>
      </c>
      <c r="M18">
        <v>2672.82</v>
      </c>
      <c r="N18">
        <v>1158.69</v>
      </c>
      <c r="O18" t="s">
        <v>27</v>
      </c>
      <c r="P18" t="s">
        <v>28</v>
      </c>
      <c r="Q18" t="s">
        <v>29</v>
      </c>
      <c r="R18" t="s">
        <v>30</v>
      </c>
      <c r="S18">
        <v>1</v>
      </c>
      <c r="T18" t="s">
        <v>31</v>
      </c>
      <c r="U18">
        <v>0.3024107988756391</v>
      </c>
    </row>
    <row r="19" spans="1:44">
      <c r="A19">
        <v>893</v>
      </c>
      <c r="B19" s="1">
        <v>45663</v>
      </c>
      <c r="C19" t="s">
        <v>93</v>
      </c>
      <c r="D19" t="s">
        <v>94</v>
      </c>
      <c r="E19" t="s">
        <v>76</v>
      </c>
      <c r="F19" t="s">
        <v>81</v>
      </c>
      <c r="G19" t="s">
        <v>59</v>
      </c>
      <c r="H19" t="s">
        <v>37</v>
      </c>
      <c r="I19">
        <v>3</v>
      </c>
      <c r="J19">
        <v>11375.8</v>
      </c>
      <c r="K19">
        <v>0.1</v>
      </c>
      <c r="L19">
        <v>30714.66</v>
      </c>
      <c r="M19">
        <v>25908.35</v>
      </c>
      <c r="N19">
        <v>4806.3100000000004</v>
      </c>
      <c r="O19" t="s">
        <v>38</v>
      </c>
      <c r="P19" t="s">
        <v>78</v>
      </c>
      <c r="Q19" t="s">
        <v>46</v>
      </c>
      <c r="R19" t="s">
        <v>30</v>
      </c>
      <c r="S19">
        <v>1</v>
      </c>
      <c r="T19" t="s">
        <v>31</v>
      </c>
      <c r="U19">
        <v>0.15648260472360756</v>
      </c>
    </row>
    <row r="20" spans="1:44">
      <c r="A20">
        <v>449</v>
      </c>
      <c r="B20" s="1">
        <v>45663</v>
      </c>
      <c r="C20" t="s">
        <v>95</v>
      </c>
      <c r="D20" t="s">
        <v>96</v>
      </c>
      <c r="E20" t="s">
        <v>97</v>
      </c>
      <c r="F20" t="s">
        <v>98</v>
      </c>
      <c r="G20" t="s">
        <v>99</v>
      </c>
      <c r="H20" t="s">
        <v>26</v>
      </c>
      <c r="I20">
        <v>1</v>
      </c>
      <c r="J20">
        <v>12718.73</v>
      </c>
      <c r="K20">
        <v>0.05</v>
      </c>
      <c r="L20">
        <v>12082.79</v>
      </c>
      <c r="M20">
        <v>11086.01</v>
      </c>
      <c r="N20">
        <v>996.78</v>
      </c>
      <c r="O20" t="s">
        <v>38</v>
      </c>
      <c r="P20" t="s">
        <v>71</v>
      </c>
      <c r="Q20" t="s">
        <v>29</v>
      </c>
      <c r="R20" t="s">
        <v>30</v>
      </c>
      <c r="S20">
        <v>1</v>
      </c>
      <c r="T20" t="s">
        <v>31</v>
      </c>
      <c r="U20">
        <v>8.2495847399483055E-2</v>
      </c>
    </row>
    <row r="21" spans="1:44">
      <c r="A21">
        <v>954</v>
      </c>
      <c r="B21" s="1">
        <v>45664</v>
      </c>
      <c r="C21" t="s">
        <v>100</v>
      </c>
      <c r="D21" t="s">
        <v>101</v>
      </c>
      <c r="E21" t="s">
        <v>23</v>
      </c>
      <c r="F21" t="s">
        <v>58</v>
      </c>
      <c r="G21" t="s">
        <v>59</v>
      </c>
      <c r="H21" t="s">
        <v>37</v>
      </c>
      <c r="I21">
        <v>4</v>
      </c>
      <c r="J21">
        <v>14295.99</v>
      </c>
      <c r="K21">
        <v>0.02</v>
      </c>
      <c r="L21">
        <v>56040.28</v>
      </c>
      <c r="M21">
        <v>36153.42</v>
      </c>
      <c r="N21">
        <v>19886.86</v>
      </c>
      <c r="O21" t="s">
        <v>38</v>
      </c>
      <c r="P21" t="s">
        <v>45</v>
      </c>
      <c r="Q21" t="s">
        <v>40</v>
      </c>
      <c r="R21" t="s">
        <v>30</v>
      </c>
      <c r="S21">
        <v>1</v>
      </c>
      <c r="T21" t="s">
        <v>31</v>
      </c>
      <c r="U21">
        <v>0.35486724905728523</v>
      </c>
    </row>
    <row r="22" spans="1:44">
      <c r="A22">
        <v>468</v>
      </c>
      <c r="B22" s="1">
        <v>45664</v>
      </c>
      <c r="C22" t="s">
        <v>102</v>
      </c>
      <c r="D22" t="s">
        <v>103</v>
      </c>
      <c r="E22" t="s">
        <v>97</v>
      </c>
      <c r="F22" t="s">
        <v>104</v>
      </c>
      <c r="G22" t="s">
        <v>105</v>
      </c>
      <c r="H22" t="s">
        <v>26</v>
      </c>
      <c r="I22">
        <v>1</v>
      </c>
      <c r="J22">
        <v>6953.64</v>
      </c>
      <c r="K22">
        <v>0.05</v>
      </c>
      <c r="L22">
        <v>6605.96</v>
      </c>
      <c r="M22">
        <v>6040.18</v>
      </c>
      <c r="N22">
        <v>565.78</v>
      </c>
      <c r="O22" t="s">
        <v>38</v>
      </c>
      <c r="P22" t="s">
        <v>39</v>
      </c>
      <c r="Q22" t="s">
        <v>40</v>
      </c>
      <c r="R22" t="s">
        <v>30</v>
      </c>
      <c r="S22">
        <v>1</v>
      </c>
      <c r="T22" t="s">
        <v>31</v>
      </c>
      <c r="U22">
        <v>8.5646900677569943E-2</v>
      </c>
    </row>
    <row r="23" spans="1:44">
      <c r="A23">
        <v>315</v>
      </c>
      <c r="B23" s="1">
        <v>45664</v>
      </c>
      <c r="C23" t="s">
        <v>106</v>
      </c>
      <c r="D23" t="s">
        <v>107</v>
      </c>
      <c r="E23" t="s">
        <v>54</v>
      </c>
      <c r="F23" t="s">
        <v>108</v>
      </c>
      <c r="G23" t="s">
        <v>25</v>
      </c>
      <c r="H23" t="s">
        <v>26</v>
      </c>
      <c r="I23">
        <v>1</v>
      </c>
      <c r="J23">
        <v>6807.82</v>
      </c>
      <c r="K23">
        <v>0</v>
      </c>
      <c r="L23">
        <v>6807.82</v>
      </c>
      <c r="M23">
        <v>4903.3999999999996</v>
      </c>
      <c r="N23">
        <v>1904.42</v>
      </c>
      <c r="O23" t="s">
        <v>38</v>
      </c>
      <c r="P23" t="s">
        <v>28</v>
      </c>
      <c r="Q23" t="s">
        <v>40</v>
      </c>
      <c r="R23" t="s">
        <v>30</v>
      </c>
      <c r="S23">
        <v>1</v>
      </c>
      <c r="T23" t="s">
        <v>31</v>
      </c>
      <c r="U23">
        <v>0.27974006363270476</v>
      </c>
      <c r="X23" cm="1">
        <f t="array" ref="X23:AR23">_xlfn._xlws.FILTER(SalesData[],SalesData[Sales]=MAX(SalesData[Sales]),"Not found")</f>
        <v>189</v>
      </c>
      <c r="Y23">
        <v>45972</v>
      </c>
      <c r="Z23" t="str">
        <v>CUST1124</v>
      </c>
      <c r="AA23" t="str">
        <v>Customer 1114</v>
      </c>
      <c r="AB23" t="str">
        <v>East</v>
      </c>
      <c r="AC23" t="str">
        <v>Bhubaneswar</v>
      </c>
      <c r="AD23" t="str">
        <v>Laptop</v>
      </c>
      <c r="AE23" t="str">
        <v>Electronics</v>
      </c>
      <c r="AF23">
        <v>4</v>
      </c>
      <c r="AG23">
        <v>73561.67</v>
      </c>
      <c r="AH23">
        <v>0</v>
      </c>
      <c r="AI23">
        <v>294246.68</v>
      </c>
      <c r="AJ23">
        <v>210905.26</v>
      </c>
      <c r="AK23">
        <v>83341.42</v>
      </c>
      <c r="AL23" t="str">
        <v>Store</v>
      </c>
      <c r="AM23" t="str">
        <v>Cash</v>
      </c>
      <c r="AN23" t="str">
        <v>Corporate</v>
      </c>
      <c r="AO23" t="str">
        <v>Nov</v>
      </c>
      <c r="AP23">
        <v>11</v>
      </c>
      <c r="AQ23" t="str">
        <v>Q4</v>
      </c>
      <c r="AR23">
        <v>0.28323656871846437</v>
      </c>
    </row>
    <row r="24" spans="1:44">
      <c r="A24">
        <v>696</v>
      </c>
      <c r="B24" s="1">
        <v>45665</v>
      </c>
      <c r="C24" t="s">
        <v>109</v>
      </c>
      <c r="D24" t="s">
        <v>110</v>
      </c>
      <c r="E24" t="s">
        <v>34</v>
      </c>
      <c r="F24" t="s">
        <v>49</v>
      </c>
      <c r="G24" t="s">
        <v>62</v>
      </c>
      <c r="H24" t="s">
        <v>63</v>
      </c>
      <c r="I24">
        <v>1</v>
      </c>
      <c r="J24">
        <v>387.9</v>
      </c>
      <c r="K24">
        <v>0.15</v>
      </c>
      <c r="L24">
        <v>329.71</v>
      </c>
      <c r="M24">
        <v>279.58999999999997</v>
      </c>
      <c r="N24">
        <v>50.12</v>
      </c>
      <c r="O24" t="s">
        <v>38</v>
      </c>
      <c r="P24" t="s">
        <v>39</v>
      </c>
      <c r="Q24" t="s">
        <v>46</v>
      </c>
      <c r="R24" t="s">
        <v>30</v>
      </c>
      <c r="S24">
        <v>1</v>
      </c>
      <c r="T24" t="s">
        <v>31</v>
      </c>
      <c r="U24">
        <v>0.15201237451093386</v>
      </c>
    </row>
    <row r="25" spans="1:44">
      <c r="A25">
        <v>237</v>
      </c>
      <c r="B25" s="1">
        <v>45665</v>
      </c>
      <c r="C25" t="s">
        <v>111</v>
      </c>
      <c r="D25" t="s">
        <v>112</v>
      </c>
      <c r="E25" t="s">
        <v>76</v>
      </c>
      <c r="F25" t="s">
        <v>113</v>
      </c>
      <c r="G25" t="s">
        <v>44</v>
      </c>
      <c r="H25" t="s">
        <v>26</v>
      </c>
      <c r="I25">
        <v>4</v>
      </c>
      <c r="J25">
        <v>71475.81</v>
      </c>
      <c r="K25">
        <v>0.1</v>
      </c>
      <c r="L25">
        <v>257312.92</v>
      </c>
      <c r="M25">
        <v>238303.65</v>
      </c>
      <c r="N25">
        <v>19009.27</v>
      </c>
      <c r="O25" t="s">
        <v>38</v>
      </c>
      <c r="P25" t="s">
        <v>71</v>
      </c>
      <c r="Q25" t="s">
        <v>46</v>
      </c>
      <c r="R25" t="s">
        <v>30</v>
      </c>
      <c r="S25">
        <v>1</v>
      </c>
      <c r="T25" t="s">
        <v>31</v>
      </c>
      <c r="U25">
        <v>7.3876080532605984E-2</v>
      </c>
    </row>
    <row r="26" spans="1:44">
      <c r="A26">
        <v>129</v>
      </c>
      <c r="B26" s="1">
        <v>45665</v>
      </c>
      <c r="C26" t="s">
        <v>114</v>
      </c>
      <c r="D26" t="s">
        <v>115</v>
      </c>
      <c r="E26" t="s">
        <v>54</v>
      </c>
      <c r="F26" t="s">
        <v>55</v>
      </c>
      <c r="G26" t="s">
        <v>36</v>
      </c>
      <c r="H26" t="s">
        <v>37</v>
      </c>
      <c r="I26">
        <v>1</v>
      </c>
      <c r="J26">
        <v>5910.95</v>
      </c>
      <c r="K26">
        <v>0</v>
      </c>
      <c r="L26">
        <v>5910.95</v>
      </c>
      <c r="M26">
        <v>3804.89</v>
      </c>
      <c r="N26">
        <v>2106.06</v>
      </c>
      <c r="O26" t="s">
        <v>27</v>
      </c>
      <c r="P26" t="s">
        <v>45</v>
      </c>
      <c r="Q26" t="s">
        <v>46</v>
      </c>
      <c r="R26" t="s">
        <v>30</v>
      </c>
      <c r="S26">
        <v>1</v>
      </c>
      <c r="T26" t="s">
        <v>31</v>
      </c>
      <c r="U26">
        <v>0.35629805699591438</v>
      </c>
    </row>
    <row r="27" spans="1:44">
      <c r="A27">
        <v>51</v>
      </c>
      <c r="B27" s="1">
        <v>45665</v>
      </c>
      <c r="C27" t="s">
        <v>116</v>
      </c>
      <c r="D27" t="s">
        <v>107</v>
      </c>
      <c r="E27" t="s">
        <v>23</v>
      </c>
      <c r="F27" t="s">
        <v>43</v>
      </c>
      <c r="G27" t="s">
        <v>25</v>
      </c>
      <c r="H27" t="s">
        <v>26</v>
      </c>
      <c r="I27">
        <v>1</v>
      </c>
      <c r="J27">
        <v>20644.07</v>
      </c>
      <c r="K27">
        <v>0.1</v>
      </c>
      <c r="L27">
        <v>18579.66</v>
      </c>
      <c r="M27">
        <v>13372.33</v>
      </c>
      <c r="N27">
        <v>5207.33</v>
      </c>
      <c r="O27" t="s">
        <v>27</v>
      </c>
      <c r="P27" t="s">
        <v>45</v>
      </c>
      <c r="Q27" t="s">
        <v>40</v>
      </c>
      <c r="R27" t="s">
        <v>30</v>
      </c>
      <c r="S27">
        <v>1</v>
      </c>
      <c r="T27" t="s">
        <v>31</v>
      </c>
      <c r="U27">
        <v>0.28027046781265103</v>
      </c>
      <c r="X27" cm="1">
        <f t="array" ref="X27:AR44">_xlfn._xlws.FILTER(SalesData[],SalesData[Profit]&lt;0,"No loss-making transactions")</f>
        <v>786</v>
      </c>
      <c r="Y27">
        <v>45695</v>
      </c>
      <c r="Z27" t="str">
        <v>CUST1048</v>
      </c>
      <c r="AA27" t="str">
        <v>Customer 1183</v>
      </c>
      <c r="AB27" t="str">
        <v>West</v>
      </c>
      <c r="AC27" t="str">
        <v>Ahmedabad</v>
      </c>
      <c r="AD27" t="str">
        <v>Laptop</v>
      </c>
      <c r="AE27" t="str">
        <v>Electronics</v>
      </c>
      <c r="AF27">
        <v>3</v>
      </c>
      <c r="AG27">
        <v>55106.98</v>
      </c>
      <c r="AH27">
        <v>0.15</v>
      </c>
      <c r="AI27">
        <v>140522.79999999999</v>
      </c>
      <c r="AJ27">
        <v>142402.04999999999</v>
      </c>
      <c r="AK27">
        <v>-1879.25</v>
      </c>
      <c r="AL27" t="str">
        <v>Online</v>
      </c>
      <c r="AM27" t="str">
        <v>UPI</v>
      </c>
      <c r="AN27" t="str">
        <v>Home Office</v>
      </c>
      <c r="AO27" t="str">
        <v>Feb</v>
      </c>
      <c r="AP27">
        <v>2</v>
      </c>
      <c r="AQ27" t="str">
        <v>Q1</v>
      </c>
      <c r="AR27">
        <v>-1.3373274657208653E-2</v>
      </c>
    </row>
    <row r="28" spans="1:44">
      <c r="A28">
        <v>993</v>
      </c>
      <c r="B28" s="1">
        <v>45665</v>
      </c>
      <c r="C28" t="s">
        <v>117</v>
      </c>
      <c r="D28" t="s">
        <v>118</v>
      </c>
      <c r="E28" t="s">
        <v>23</v>
      </c>
      <c r="F28" t="s">
        <v>43</v>
      </c>
      <c r="G28" t="s">
        <v>25</v>
      </c>
      <c r="H28" t="s">
        <v>26</v>
      </c>
      <c r="I28">
        <v>1</v>
      </c>
      <c r="J28">
        <v>21533.67</v>
      </c>
      <c r="K28">
        <v>0.02</v>
      </c>
      <c r="L28">
        <v>21103</v>
      </c>
      <c r="M28">
        <v>15340.7</v>
      </c>
      <c r="N28">
        <v>5762.3</v>
      </c>
      <c r="O28" t="s">
        <v>38</v>
      </c>
      <c r="P28" t="s">
        <v>78</v>
      </c>
      <c r="Q28" t="s">
        <v>46</v>
      </c>
      <c r="R28" t="s">
        <v>30</v>
      </c>
      <c r="S28">
        <v>1</v>
      </c>
      <c r="T28" t="s">
        <v>31</v>
      </c>
      <c r="U28">
        <v>0.27305596360707007</v>
      </c>
      <c r="X28">
        <v>62</v>
      </c>
      <c r="Y28">
        <v>45718</v>
      </c>
      <c r="Z28" t="str">
        <v>CUST1122</v>
      </c>
      <c r="AA28" t="str">
        <v>Customer 1051</v>
      </c>
      <c r="AB28" t="str">
        <v>West</v>
      </c>
      <c r="AC28" t="str">
        <v>Mumbai</v>
      </c>
      <c r="AD28" t="str">
        <v>Headphones</v>
      </c>
      <c r="AE28" t="str">
        <v>Electronics</v>
      </c>
      <c r="AF28">
        <v>1</v>
      </c>
      <c r="AG28">
        <v>7145.36</v>
      </c>
      <c r="AH28">
        <v>0.15</v>
      </c>
      <c r="AI28">
        <v>6073.56</v>
      </c>
      <c r="AJ28">
        <v>6237.96</v>
      </c>
      <c r="AK28">
        <v>-164.4</v>
      </c>
      <c r="AL28" t="str">
        <v>Online</v>
      </c>
      <c r="AM28" t="str">
        <v>Net Banking</v>
      </c>
      <c r="AN28" t="str">
        <v>Consumer</v>
      </c>
      <c r="AO28" t="str">
        <v>Mar</v>
      </c>
      <c r="AP28">
        <v>3</v>
      </c>
      <c r="AQ28" t="str">
        <v>Q1</v>
      </c>
      <c r="AR28">
        <v>-2.706814454784344E-2</v>
      </c>
    </row>
    <row r="29" spans="1:44">
      <c r="A29">
        <v>463</v>
      </c>
      <c r="B29" s="1">
        <v>45665</v>
      </c>
      <c r="C29" t="s">
        <v>119</v>
      </c>
      <c r="D29" t="s">
        <v>120</v>
      </c>
      <c r="E29" t="s">
        <v>34</v>
      </c>
      <c r="F29" t="s">
        <v>86</v>
      </c>
      <c r="G29" t="s">
        <v>99</v>
      </c>
      <c r="H29" t="s">
        <v>26</v>
      </c>
      <c r="I29">
        <v>1</v>
      </c>
      <c r="J29">
        <v>29935.94</v>
      </c>
      <c r="K29">
        <v>0.15</v>
      </c>
      <c r="L29">
        <v>25445.55</v>
      </c>
      <c r="M29">
        <v>20795.82</v>
      </c>
      <c r="N29">
        <v>4649.7299999999996</v>
      </c>
      <c r="O29" t="s">
        <v>27</v>
      </c>
      <c r="P29" t="s">
        <v>28</v>
      </c>
      <c r="Q29" t="s">
        <v>40</v>
      </c>
      <c r="R29" t="s">
        <v>30</v>
      </c>
      <c r="S29">
        <v>1</v>
      </c>
      <c r="T29" t="s">
        <v>31</v>
      </c>
      <c r="U29">
        <v>0.18273254066035122</v>
      </c>
      <c r="X29">
        <v>454</v>
      </c>
      <c r="Y29">
        <v>45722</v>
      </c>
      <c r="Z29" t="str">
        <v>CUST1134</v>
      </c>
      <c r="AA29" t="str">
        <v>Customer 1151</v>
      </c>
      <c r="AB29" t="str">
        <v>West</v>
      </c>
      <c r="AC29" t="str">
        <v>Ahmedabad</v>
      </c>
      <c r="AD29" t="str">
        <v>Office Chair</v>
      </c>
      <c r="AE29" t="str">
        <v>Furniture</v>
      </c>
      <c r="AF29">
        <v>1</v>
      </c>
      <c r="AG29">
        <v>12433.26</v>
      </c>
      <c r="AH29">
        <v>0.15</v>
      </c>
      <c r="AI29">
        <v>10568.27</v>
      </c>
      <c r="AJ29">
        <v>10913.9</v>
      </c>
      <c r="AK29">
        <v>-345.63</v>
      </c>
      <c r="AL29" t="str">
        <v>Online</v>
      </c>
      <c r="AM29" t="str">
        <v>Debit Card</v>
      </c>
      <c r="AN29" t="str">
        <v>Home Office</v>
      </c>
      <c r="AO29" t="str">
        <v>Mar</v>
      </c>
      <c r="AP29">
        <v>3</v>
      </c>
      <c r="AQ29" t="str">
        <v>Q1</v>
      </c>
      <c r="AR29">
        <v>-3.2704501304376209E-2</v>
      </c>
    </row>
    <row r="30" spans="1:44">
      <c r="A30">
        <v>976</v>
      </c>
      <c r="B30" s="1">
        <v>45666</v>
      </c>
      <c r="C30" t="s">
        <v>121</v>
      </c>
      <c r="D30" t="s">
        <v>122</v>
      </c>
      <c r="E30" t="s">
        <v>76</v>
      </c>
      <c r="F30" t="s">
        <v>81</v>
      </c>
      <c r="G30" t="s">
        <v>66</v>
      </c>
      <c r="H30" t="s">
        <v>51</v>
      </c>
      <c r="I30">
        <v>1</v>
      </c>
      <c r="J30">
        <v>1067.45</v>
      </c>
      <c r="K30">
        <v>0.05</v>
      </c>
      <c r="L30">
        <v>1014.08</v>
      </c>
      <c r="M30">
        <v>772.42</v>
      </c>
      <c r="N30">
        <v>241.66</v>
      </c>
      <c r="O30" t="s">
        <v>27</v>
      </c>
      <c r="P30" t="s">
        <v>71</v>
      </c>
      <c r="Q30" t="s">
        <v>40</v>
      </c>
      <c r="R30" t="s">
        <v>30</v>
      </c>
      <c r="S30">
        <v>1</v>
      </c>
      <c r="T30" t="s">
        <v>31</v>
      </c>
      <c r="U30">
        <v>0.23830467024297886</v>
      </c>
      <c r="X30">
        <v>843</v>
      </c>
      <c r="Y30">
        <v>45742</v>
      </c>
      <c r="Z30" t="str">
        <v>CUST1020</v>
      </c>
      <c r="AA30" t="str">
        <v>Customer 1050</v>
      </c>
      <c r="AB30" t="str">
        <v>East</v>
      </c>
      <c r="AC30" t="str">
        <v>Kolkata</v>
      </c>
      <c r="AD30" t="str">
        <v>Notebook</v>
      </c>
      <c r="AE30" t="str">
        <v>Stationery</v>
      </c>
      <c r="AF30">
        <v>1</v>
      </c>
      <c r="AG30">
        <v>369.06</v>
      </c>
      <c r="AH30">
        <v>0.15</v>
      </c>
      <c r="AI30">
        <v>313.7</v>
      </c>
      <c r="AJ30">
        <v>314.94</v>
      </c>
      <c r="AK30">
        <v>-1.24</v>
      </c>
      <c r="AL30" t="str">
        <v>Store</v>
      </c>
      <c r="AM30" t="str">
        <v>Cash</v>
      </c>
      <c r="AN30" t="str">
        <v>Consumer</v>
      </c>
      <c r="AO30" t="str">
        <v>Mar</v>
      </c>
      <c r="AP30">
        <v>3</v>
      </c>
      <c r="AQ30" t="str">
        <v>Q1</v>
      </c>
      <c r="AR30">
        <v>-3.9528211667197964E-3</v>
      </c>
    </row>
    <row r="31" spans="1:44">
      <c r="A31">
        <v>300</v>
      </c>
      <c r="B31" s="1">
        <v>45667</v>
      </c>
      <c r="C31" t="s">
        <v>123</v>
      </c>
      <c r="D31" t="s">
        <v>124</v>
      </c>
      <c r="E31" t="s">
        <v>34</v>
      </c>
      <c r="F31" t="s">
        <v>49</v>
      </c>
      <c r="G31" t="s">
        <v>50</v>
      </c>
      <c r="H31" t="s">
        <v>51</v>
      </c>
      <c r="I31">
        <v>3</v>
      </c>
      <c r="J31">
        <v>622.82000000000005</v>
      </c>
      <c r="K31">
        <v>0</v>
      </c>
      <c r="L31">
        <v>1868.46</v>
      </c>
      <c r="M31">
        <v>1289.05</v>
      </c>
      <c r="N31">
        <v>579.41</v>
      </c>
      <c r="O31" t="s">
        <v>27</v>
      </c>
      <c r="P31" t="s">
        <v>78</v>
      </c>
      <c r="Q31" t="s">
        <v>46</v>
      </c>
      <c r="R31" t="s">
        <v>30</v>
      </c>
      <c r="S31">
        <v>1</v>
      </c>
      <c r="T31" t="s">
        <v>31</v>
      </c>
      <c r="U31">
        <v>0.31010029650086163</v>
      </c>
      <c r="X31">
        <v>678</v>
      </c>
      <c r="Y31">
        <v>45745</v>
      </c>
      <c r="Z31" t="str">
        <v>CUST1278</v>
      </c>
      <c r="AA31" t="str">
        <v>Customer 1082</v>
      </c>
      <c r="AB31" t="str">
        <v>South</v>
      </c>
      <c r="AC31" t="str">
        <v>Bengaluru</v>
      </c>
      <c r="AD31" t="str">
        <v>Headphones</v>
      </c>
      <c r="AE31" t="str">
        <v>Electronics</v>
      </c>
      <c r="AF31">
        <v>2</v>
      </c>
      <c r="AG31">
        <v>3557.69</v>
      </c>
      <c r="AH31">
        <v>0.15</v>
      </c>
      <c r="AI31">
        <v>6048.07</v>
      </c>
      <c r="AJ31">
        <v>6064.53</v>
      </c>
      <c r="AK31">
        <v>-16.46</v>
      </c>
      <c r="AL31" t="str">
        <v>Online</v>
      </c>
      <c r="AM31" t="str">
        <v>UPI</v>
      </c>
      <c r="AN31" t="str">
        <v>Corporate</v>
      </c>
      <c r="AO31" t="str">
        <v>Mar</v>
      </c>
      <c r="AP31">
        <v>3</v>
      </c>
      <c r="AQ31" t="str">
        <v>Q1</v>
      </c>
      <c r="AR31">
        <v>-2.7215293473785854E-3</v>
      </c>
    </row>
    <row r="32" spans="1:44">
      <c r="A32">
        <v>736</v>
      </c>
      <c r="B32" s="1">
        <v>45667</v>
      </c>
      <c r="C32" t="s">
        <v>125</v>
      </c>
      <c r="D32" t="s">
        <v>126</v>
      </c>
      <c r="E32" t="s">
        <v>54</v>
      </c>
      <c r="F32" t="s">
        <v>127</v>
      </c>
      <c r="G32" t="s">
        <v>36</v>
      </c>
      <c r="H32" t="s">
        <v>37</v>
      </c>
      <c r="I32">
        <v>1</v>
      </c>
      <c r="J32">
        <v>9080.2999999999993</v>
      </c>
      <c r="K32">
        <v>0.15</v>
      </c>
      <c r="L32">
        <v>7718.25</v>
      </c>
      <c r="M32">
        <v>7435.02</v>
      </c>
      <c r="N32">
        <v>283.23</v>
      </c>
      <c r="O32" t="s">
        <v>27</v>
      </c>
      <c r="P32" t="s">
        <v>78</v>
      </c>
      <c r="Q32" t="s">
        <v>29</v>
      </c>
      <c r="R32" t="s">
        <v>30</v>
      </c>
      <c r="S32">
        <v>1</v>
      </c>
      <c r="T32" t="s">
        <v>31</v>
      </c>
      <c r="U32">
        <v>3.6696142260227382E-2</v>
      </c>
      <c r="X32">
        <v>804</v>
      </c>
      <c r="Y32">
        <v>45754</v>
      </c>
      <c r="Z32" t="str">
        <v>CUST1055</v>
      </c>
      <c r="AA32" t="str">
        <v>Customer 1127</v>
      </c>
      <c r="AB32" t="str">
        <v>East</v>
      </c>
      <c r="AC32" t="str">
        <v>Patna</v>
      </c>
      <c r="AD32" t="str">
        <v>Mouse</v>
      </c>
      <c r="AE32" t="str">
        <v>Accessories</v>
      </c>
      <c r="AF32">
        <v>4</v>
      </c>
      <c r="AG32">
        <v>1333.77</v>
      </c>
      <c r="AH32">
        <v>0.15</v>
      </c>
      <c r="AI32">
        <v>4534.82</v>
      </c>
      <c r="AJ32">
        <v>4535.25</v>
      </c>
      <c r="AK32">
        <v>-0.43</v>
      </c>
      <c r="AL32" t="str">
        <v>Store</v>
      </c>
      <c r="AM32" t="str">
        <v>UPI</v>
      </c>
      <c r="AN32" t="str">
        <v>Home Office</v>
      </c>
      <c r="AO32" t="str">
        <v>Apr</v>
      </c>
      <c r="AP32">
        <v>4</v>
      </c>
      <c r="AQ32" t="str">
        <v>Q2</v>
      </c>
      <c r="AR32">
        <v>-9.4821845189004198E-5</v>
      </c>
    </row>
    <row r="33" spans="1:44">
      <c r="A33">
        <v>690</v>
      </c>
      <c r="B33" s="1">
        <v>45667</v>
      </c>
      <c r="C33" t="s">
        <v>128</v>
      </c>
      <c r="D33" t="s">
        <v>129</v>
      </c>
      <c r="E33" t="s">
        <v>54</v>
      </c>
      <c r="F33" t="s">
        <v>55</v>
      </c>
      <c r="G33" t="s">
        <v>36</v>
      </c>
      <c r="H33" t="s">
        <v>37</v>
      </c>
      <c r="I33">
        <v>2</v>
      </c>
      <c r="J33">
        <v>5883.01</v>
      </c>
      <c r="K33">
        <v>0.15</v>
      </c>
      <c r="L33">
        <v>10001.120000000001</v>
      </c>
      <c r="M33">
        <v>8251.57</v>
      </c>
      <c r="N33">
        <v>1749.55</v>
      </c>
      <c r="O33" t="s">
        <v>27</v>
      </c>
      <c r="P33" t="s">
        <v>28</v>
      </c>
      <c r="Q33" t="s">
        <v>46</v>
      </c>
      <c r="R33" t="s">
        <v>30</v>
      </c>
      <c r="S33">
        <v>1</v>
      </c>
      <c r="T33" t="s">
        <v>31</v>
      </c>
      <c r="U33">
        <v>0.17493540723438972</v>
      </c>
      <c r="X33">
        <v>569</v>
      </c>
      <c r="Y33">
        <v>45771</v>
      </c>
      <c r="Z33" t="str">
        <v>CUST1076</v>
      </c>
      <c r="AA33" t="str">
        <v>Customer 1164</v>
      </c>
      <c r="AB33" t="str">
        <v>Central</v>
      </c>
      <c r="AC33" t="str">
        <v>Nagpur</v>
      </c>
      <c r="AD33" t="str">
        <v>Smartphone</v>
      </c>
      <c r="AE33" t="str">
        <v>Electronics</v>
      </c>
      <c r="AF33">
        <v>3</v>
      </c>
      <c r="AG33">
        <v>35154.019999999997</v>
      </c>
      <c r="AH33">
        <v>0.15</v>
      </c>
      <c r="AI33">
        <v>89642.75</v>
      </c>
      <c r="AJ33">
        <v>91350.06</v>
      </c>
      <c r="AK33">
        <v>-1707.31</v>
      </c>
      <c r="AL33" t="str">
        <v>Store</v>
      </c>
      <c r="AM33" t="str">
        <v>Net Banking</v>
      </c>
      <c r="AN33" t="str">
        <v>Consumer</v>
      </c>
      <c r="AO33" t="str">
        <v>Apr</v>
      </c>
      <c r="AP33">
        <v>4</v>
      </c>
      <c r="AQ33" t="str">
        <v>Q2</v>
      </c>
      <c r="AR33">
        <v>-1.9045712006827101E-2</v>
      </c>
    </row>
    <row r="34" spans="1:44">
      <c r="A34">
        <v>469</v>
      </c>
      <c r="B34" s="1">
        <v>45667</v>
      </c>
      <c r="C34" t="s">
        <v>21</v>
      </c>
      <c r="D34" t="s">
        <v>130</v>
      </c>
      <c r="E34" t="s">
        <v>54</v>
      </c>
      <c r="F34" t="s">
        <v>55</v>
      </c>
      <c r="G34" t="s">
        <v>66</v>
      </c>
      <c r="H34" t="s">
        <v>51</v>
      </c>
      <c r="I34">
        <v>2</v>
      </c>
      <c r="J34">
        <v>2319.4</v>
      </c>
      <c r="K34">
        <v>0.15</v>
      </c>
      <c r="L34">
        <v>3942.98</v>
      </c>
      <c r="M34">
        <v>3926.94</v>
      </c>
      <c r="N34">
        <v>16.04</v>
      </c>
      <c r="O34" t="s">
        <v>38</v>
      </c>
      <c r="P34" t="s">
        <v>45</v>
      </c>
      <c r="Q34" t="s">
        <v>46</v>
      </c>
      <c r="R34" t="s">
        <v>30</v>
      </c>
      <c r="S34">
        <v>1</v>
      </c>
      <c r="T34" t="s">
        <v>31</v>
      </c>
      <c r="U34">
        <v>4.0679891858442091E-3</v>
      </c>
      <c r="X34">
        <v>42</v>
      </c>
      <c r="Y34">
        <v>45834</v>
      </c>
      <c r="Z34" t="str">
        <v>CUST1100</v>
      </c>
      <c r="AA34" t="str">
        <v>Customer 1233</v>
      </c>
      <c r="AB34" t="str">
        <v>North</v>
      </c>
      <c r="AC34" t="str">
        <v>Delhi</v>
      </c>
      <c r="AD34" t="str">
        <v>Monitor</v>
      </c>
      <c r="AE34" t="str">
        <v>Electronics</v>
      </c>
      <c r="AF34">
        <v>3</v>
      </c>
      <c r="AG34">
        <v>26355.61</v>
      </c>
      <c r="AH34">
        <v>0.15</v>
      </c>
      <c r="AI34">
        <v>67206.81</v>
      </c>
      <c r="AJ34">
        <v>67431.039999999994</v>
      </c>
      <c r="AK34">
        <v>-224.23</v>
      </c>
      <c r="AL34" t="str">
        <v>Online</v>
      </c>
      <c r="AM34" t="str">
        <v>Cash</v>
      </c>
      <c r="AN34" t="str">
        <v>Consumer</v>
      </c>
      <c r="AO34" t="str">
        <v>Jun</v>
      </c>
      <c r="AP34">
        <v>6</v>
      </c>
      <c r="AQ34" t="str">
        <v>Q2</v>
      </c>
      <c r="AR34">
        <v>-3.3364178421799815E-3</v>
      </c>
    </row>
    <row r="35" spans="1:44">
      <c r="A35">
        <v>73</v>
      </c>
      <c r="B35" s="1">
        <v>45667</v>
      </c>
      <c r="C35" t="s">
        <v>89</v>
      </c>
      <c r="D35" t="s">
        <v>131</v>
      </c>
      <c r="E35" t="s">
        <v>23</v>
      </c>
      <c r="F35" t="s">
        <v>43</v>
      </c>
      <c r="G35" t="s">
        <v>99</v>
      </c>
      <c r="H35" t="s">
        <v>26</v>
      </c>
      <c r="I35">
        <v>1</v>
      </c>
      <c r="J35">
        <v>15733.49</v>
      </c>
      <c r="K35">
        <v>0</v>
      </c>
      <c r="L35">
        <v>15733.49</v>
      </c>
      <c r="M35">
        <v>11265.18</v>
      </c>
      <c r="N35">
        <v>4468.3100000000004</v>
      </c>
      <c r="O35" t="s">
        <v>27</v>
      </c>
      <c r="P35" t="s">
        <v>45</v>
      </c>
      <c r="Q35" t="s">
        <v>29</v>
      </c>
      <c r="R35" t="s">
        <v>30</v>
      </c>
      <c r="S35">
        <v>1</v>
      </c>
      <c r="T35" t="s">
        <v>31</v>
      </c>
      <c r="U35">
        <v>0.28399992627192061</v>
      </c>
      <c r="X35">
        <v>465</v>
      </c>
      <c r="Y35">
        <v>45863</v>
      </c>
      <c r="Z35" t="str">
        <v>CUST1179</v>
      </c>
      <c r="AA35" t="str">
        <v>Customer 1197</v>
      </c>
      <c r="AB35" t="str">
        <v>West</v>
      </c>
      <c r="AC35" t="str">
        <v>Ahmedabad</v>
      </c>
      <c r="AD35" t="str">
        <v>Smartphone</v>
      </c>
      <c r="AE35" t="str">
        <v>Electronics</v>
      </c>
      <c r="AF35">
        <v>2</v>
      </c>
      <c r="AG35">
        <v>43177.74</v>
      </c>
      <c r="AH35">
        <v>0.15</v>
      </c>
      <c r="AI35">
        <v>73402.16</v>
      </c>
      <c r="AJ35">
        <v>74523.17</v>
      </c>
      <c r="AK35">
        <v>-1121.01</v>
      </c>
      <c r="AL35" t="str">
        <v>Online</v>
      </c>
      <c r="AM35" t="str">
        <v>UPI</v>
      </c>
      <c r="AN35" t="str">
        <v>Home Office</v>
      </c>
      <c r="AO35" t="str">
        <v>Jul</v>
      </c>
      <c r="AP35">
        <v>7</v>
      </c>
      <c r="AQ35" t="str">
        <v>Q3</v>
      </c>
      <c r="AR35">
        <v>-1.5272166377665179E-2</v>
      </c>
    </row>
    <row r="36" spans="1:44">
      <c r="A36">
        <v>362</v>
      </c>
      <c r="B36" s="1">
        <v>45668</v>
      </c>
      <c r="C36" t="s">
        <v>132</v>
      </c>
      <c r="D36" t="s">
        <v>133</v>
      </c>
      <c r="E36" t="s">
        <v>54</v>
      </c>
      <c r="F36" t="s">
        <v>55</v>
      </c>
      <c r="G36" t="s">
        <v>134</v>
      </c>
      <c r="H36" t="s">
        <v>26</v>
      </c>
      <c r="I36">
        <v>4</v>
      </c>
      <c r="J36">
        <v>30677.87</v>
      </c>
      <c r="K36">
        <v>0.02</v>
      </c>
      <c r="L36">
        <v>120257.25</v>
      </c>
      <c r="M36">
        <v>102540.38</v>
      </c>
      <c r="N36">
        <v>17716.87</v>
      </c>
      <c r="O36" t="s">
        <v>38</v>
      </c>
      <c r="P36" t="s">
        <v>45</v>
      </c>
      <c r="Q36" t="s">
        <v>40</v>
      </c>
      <c r="R36" t="s">
        <v>30</v>
      </c>
      <c r="S36">
        <v>1</v>
      </c>
      <c r="T36" t="s">
        <v>31</v>
      </c>
      <c r="U36">
        <v>0.14732475588789865</v>
      </c>
      <c r="X36">
        <v>366</v>
      </c>
      <c r="Y36">
        <v>45886</v>
      </c>
      <c r="Z36" t="str">
        <v>CUST1077</v>
      </c>
      <c r="AA36" t="str">
        <v>Customer 1188</v>
      </c>
      <c r="AB36" t="str">
        <v>West</v>
      </c>
      <c r="AC36" t="str">
        <v>Ahmedabad</v>
      </c>
      <c r="AD36" t="str">
        <v>Printer</v>
      </c>
      <c r="AE36" t="str">
        <v>Electronics</v>
      </c>
      <c r="AF36">
        <v>2</v>
      </c>
      <c r="AG36">
        <v>14221.61</v>
      </c>
      <c r="AH36">
        <v>0.15</v>
      </c>
      <c r="AI36">
        <v>24176.74</v>
      </c>
      <c r="AJ36">
        <v>24670.959999999999</v>
      </c>
      <c r="AK36">
        <v>-494.22</v>
      </c>
      <c r="AL36" t="str">
        <v>Store</v>
      </c>
      <c r="AM36" t="str">
        <v>Cash</v>
      </c>
      <c r="AN36" t="str">
        <v>Home Office</v>
      </c>
      <c r="AO36" t="str">
        <v>Aug</v>
      </c>
      <c r="AP36">
        <v>8</v>
      </c>
      <c r="AQ36" t="str">
        <v>Q3</v>
      </c>
      <c r="AR36">
        <v>-2.0441961984949169E-2</v>
      </c>
    </row>
    <row r="37" spans="1:44">
      <c r="A37">
        <v>447</v>
      </c>
      <c r="B37" s="1">
        <v>45669</v>
      </c>
      <c r="C37" t="s">
        <v>135</v>
      </c>
      <c r="D37" t="s">
        <v>136</v>
      </c>
      <c r="E37" t="s">
        <v>54</v>
      </c>
      <c r="F37" t="s">
        <v>127</v>
      </c>
      <c r="G37" t="s">
        <v>66</v>
      </c>
      <c r="H37" t="s">
        <v>51</v>
      </c>
      <c r="I37">
        <v>3</v>
      </c>
      <c r="J37">
        <v>3359.52</v>
      </c>
      <c r="K37">
        <v>0</v>
      </c>
      <c r="L37">
        <v>10078.56</v>
      </c>
      <c r="M37">
        <v>6450.97</v>
      </c>
      <c r="N37">
        <v>3627.59</v>
      </c>
      <c r="O37" t="s">
        <v>27</v>
      </c>
      <c r="P37" t="s">
        <v>28</v>
      </c>
      <c r="Q37" t="s">
        <v>29</v>
      </c>
      <c r="R37" t="s">
        <v>30</v>
      </c>
      <c r="S37">
        <v>1</v>
      </c>
      <c r="T37" t="s">
        <v>31</v>
      </c>
      <c r="U37">
        <v>0.35993137908590117</v>
      </c>
      <c r="X37">
        <v>286</v>
      </c>
      <c r="Y37">
        <v>45904</v>
      </c>
      <c r="Z37" t="str">
        <v>CUST1008</v>
      </c>
      <c r="AA37" t="str">
        <v>Customer 1141</v>
      </c>
      <c r="AB37" t="str">
        <v>Central</v>
      </c>
      <c r="AC37" t="str">
        <v>Indore</v>
      </c>
      <c r="AD37" t="str">
        <v>Smartphone</v>
      </c>
      <c r="AE37" t="str">
        <v>Electronics</v>
      </c>
      <c r="AF37">
        <v>1</v>
      </c>
      <c r="AG37">
        <v>43837.51</v>
      </c>
      <c r="AH37">
        <v>0.15</v>
      </c>
      <c r="AI37">
        <v>37261.879999999997</v>
      </c>
      <c r="AJ37">
        <v>38040.14</v>
      </c>
      <c r="AK37">
        <v>-778.26</v>
      </c>
      <c r="AL37" t="str">
        <v>Store</v>
      </c>
      <c r="AM37" t="str">
        <v>Cash</v>
      </c>
      <c r="AN37" t="str">
        <v>Home Office</v>
      </c>
      <c r="AO37" t="str">
        <v>Sep</v>
      </c>
      <c r="AP37">
        <v>9</v>
      </c>
      <c r="AQ37" t="str">
        <v>Q3</v>
      </c>
      <c r="AR37">
        <v>-2.0886224742283535E-2</v>
      </c>
    </row>
    <row r="38" spans="1:44">
      <c r="A38">
        <v>914</v>
      </c>
      <c r="B38" s="1">
        <v>45669</v>
      </c>
      <c r="C38" t="s">
        <v>91</v>
      </c>
      <c r="D38" t="s">
        <v>137</v>
      </c>
      <c r="E38" t="s">
        <v>23</v>
      </c>
      <c r="F38" t="s">
        <v>58</v>
      </c>
      <c r="G38" t="s">
        <v>25</v>
      </c>
      <c r="H38" t="s">
        <v>26</v>
      </c>
      <c r="I38">
        <v>1</v>
      </c>
      <c r="J38">
        <v>18378.36</v>
      </c>
      <c r="K38">
        <v>0.05</v>
      </c>
      <c r="L38">
        <v>17459.439999999999</v>
      </c>
      <c r="M38">
        <v>14318.49</v>
      </c>
      <c r="N38">
        <v>3140.95</v>
      </c>
      <c r="O38" t="s">
        <v>27</v>
      </c>
      <c r="P38" t="s">
        <v>45</v>
      </c>
      <c r="Q38" t="s">
        <v>29</v>
      </c>
      <c r="R38" t="s">
        <v>30</v>
      </c>
      <c r="S38">
        <v>1</v>
      </c>
      <c r="T38" t="s">
        <v>31</v>
      </c>
      <c r="U38">
        <v>0.17989981351062806</v>
      </c>
      <c r="X38">
        <v>638</v>
      </c>
      <c r="Y38">
        <v>45915</v>
      </c>
      <c r="Z38" t="str">
        <v>CUST1204</v>
      </c>
      <c r="AA38" t="str">
        <v>Customer 1262</v>
      </c>
      <c r="AB38" t="str">
        <v>North</v>
      </c>
      <c r="AC38" t="str">
        <v>Jaipur</v>
      </c>
      <c r="AD38" t="str">
        <v>Headphones</v>
      </c>
      <c r="AE38" t="str">
        <v>Electronics</v>
      </c>
      <c r="AF38">
        <v>1</v>
      </c>
      <c r="AG38">
        <v>6990.45</v>
      </c>
      <c r="AH38">
        <v>0.15</v>
      </c>
      <c r="AI38">
        <v>5941.88</v>
      </c>
      <c r="AJ38">
        <v>6105.72</v>
      </c>
      <c r="AK38">
        <v>-163.84</v>
      </c>
      <c r="AL38" t="str">
        <v>Online</v>
      </c>
      <c r="AM38" t="str">
        <v>Debit Card</v>
      </c>
      <c r="AN38" t="str">
        <v>Consumer</v>
      </c>
      <c r="AO38" t="str">
        <v>Sep</v>
      </c>
      <c r="AP38">
        <v>9</v>
      </c>
      <c r="AQ38" t="str">
        <v>Q3</v>
      </c>
      <c r="AR38">
        <v>-2.7573764532437546E-2</v>
      </c>
    </row>
    <row r="39" spans="1:44">
      <c r="A39">
        <v>495</v>
      </c>
      <c r="B39" s="1">
        <v>45670</v>
      </c>
      <c r="C39" t="s">
        <v>138</v>
      </c>
      <c r="D39" t="s">
        <v>139</v>
      </c>
      <c r="E39" t="s">
        <v>23</v>
      </c>
      <c r="F39" t="s">
        <v>58</v>
      </c>
      <c r="G39" t="s">
        <v>50</v>
      </c>
      <c r="H39" t="s">
        <v>51</v>
      </c>
      <c r="I39">
        <v>1</v>
      </c>
      <c r="J39">
        <v>1261.1300000000001</v>
      </c>
      <c r="K39">
        <v>0.1</v>
      </c>
      <c r="L39">
        <v>1135.02</v>
      </c>
      <c r="M39">
        <v>951.52</v>
      </c>
      <c r="N39">
        <v>183.5</v>
      </c>
      <c r="O39" t="s">
        <v>38</v>
      </c>
      <c r="P39" t="s">
        <v>78</v>
      </c>
      <c r="Q39" t="s">
        <v>40</v>
      </c>
      <c r="R39" t="s">
        <v>30</v>
      </c>
      <c r="S39">
        <v>1</v>
      </c>
      <c r="T39" t="s">
        <v>31</v>
      </c>
      <c r="U39">
        <v>0.16167115997955983</v>
      </c>
      <c r="X39">
        <v>507</v>
      </c>
      <c r="Y39">
        <v>45935</v>
      </c>
      <c r="Z39" t="str">
        <v>CUST1018</v>
      </c>
      <c r="AA39" t="str">
        <v>Customer 1012</v>
      </c>
      <c r="AB39" t="str">
        <v>East</v>
      </c>
      <c r="AC39" t="str">
        <v>Bhubaneswar</v>
      </c>
      <c r="AD39" t="str">
        <v>Notebook</v>
      </c>
      <c r="AE39" t="str">
        <v>Stationery</v>
      </c>
      <c r="AF39">
        <v>3</v>
      </c>
      <c r="AG39">
        <v>287.51</v>
      </c>
      <c r="AH39">
        <v>0.15</v>
      </c>
      <c r="AI39">
        <v>733.15</v>
      </c>
      <c r="AJ39">
        <v>736.02</v>
      </c>
      <c r="AK39">
        <v>-2.87</v>
      </c>
      <c r="AL39" t="str">
        <v>Store</v>
      </c>
      <c r="AM39" t="str">
        <v>Debit Card</v>
      </c>
      <c r="AN39" t="str">
        <v>Corporate</v>
      </c>
      <c r="AO39" t="str">
        <v>Oct</v>
      </c>
      <c r="AP39">
        <v>10</v>
      </c>
      <c r="AQ39" t="str">
        <v>Q4</v>
      </c>
      <c r="AR39">
        <v>-3.9146150173907119E-3</v>
      </c>
    </row>
    <row r="40" spans="1:44">
      <c r="A40">
        <v>41</v>
      </c>
      <c r="B40" s="1">
        <v>45670</v>
      </c>
      <c r="C40" t="s">
        <v>140</v>
      </c>
      <c r="D40" t="s">
        <v>141</v>
      </c>
      <c r="E40" t="s">
        <v>97</v>
      </c>
      <c r="F40" t="s">
        <v>104</v>
      </c>
      <c r="G40" t="s">
        <v>36</v>
      </c>
      <c r="H40" t="s">
        <v>37</v>
      </c>
      <c r="I40">
        <v>2</v>
      </c>
      <c r="J40">
        <v>14405.4</v>
      </c>
      <c r="K40">
        <v>0.1</v>
      </c>
      <c r="L40">
        <v>25929.72</v>
      </c>
      <c r="M40">
        <v>21076.21</v>
      </c>
      <c r="N40">
        <v>4853.51</v>
      </c>
      <c r="O40" t="s">
        <v>38</v>
      </c>
      <c r="P40" t="s">
        <v>28</v>
      </c>
      <c r="Q40" t="s">
        <v>40</v>
      </c>
      <c r="R40" t="s">
        <v>30</v>
      </c>
      <c r="S40">
        <v>1</v>
      </c>
      <c r="T40" t="s">
        <v>31</v>
      </c>
      <c r="U40">
        <v>0.187179421914313</v>
      </c>
      <c r="X40">
        <v>958</v>
      </c>
      <c r="Y40">
        <v>45973</v>
      </c>
      <c r="Z40" t="str">
        <v>CUST1059</v>
      </c>
      <c r="AA40" t="str">
        <v>Customer 1213</v>
      </c>
      <c r="AB40" t="str">
        <v>Central</v>
      </c>
      <c r="AC40" t="str">
        <v>Indore</v>
      </c>
      <c r="AD40" t="str">
        <v>Smartphone</v>
      </c>
      <c r="AE40" t="str">
        <v>Electronics</v>
      </c>
      <c r="AF40">
        <v>1</v>
      </c>
      <c r="AG40">
        <v>39570.94</v>
      </c>
      <c r="AH40">
        <v>0.15</v>
      </c>
      <c r="AI40">
        <v>33635.300000000003</v>
      </c>
      <c r="AJ40">
        <v>34298.54</v>
      </c>
      <c r="AK40">
        <v>-663.24</v>
      </c>
      <c r="AL40" t="str">
        <v>Store</v>
      </c>
      <c r="AM40" t="str">
        <v>Credit Card</v>
      </c>
      <c r="AN40" t="str">
        <v>Corporate</v>
      </c>
      <c r="AO40" t="str">
        <v>Nov</v>
      </c>
      <c r="AP40">
        <v>11</v>
      </c>
      <c r="AQ40" t="str">
        <v>Q4</v>
      </c>
      <c r="AR40">
        <v>-1.9718569479088933E-2</v>
      </c>
    </row>
    <row r="41" spans="1:44">
      <c r="A41">
        <v>558</v>
      </c>
      <c r="B41" s="1">
        <v>45670</v>
      </c>
      <c r="C41" t="s">
        <v>142</v>
      </c>
      <c r="D41" t="s">
        <v>143</v>
      </c>
      <c r="E41" t="s">
        <v>23</v>
      </c>
      <c r="F41" t="s">
        <v>43</v>
      </c>
      <c r="G41" t="s">
        <v>62</v>
      </c>
      <c r="H41" t="s">
        <v>63</v>
      </c>
      <c r="I41">
        <v>2</v>
      </c>
      <c r="J41">
        <v>222.82</v>
      </c>
      <c r="K41">
        <v>0.1</v>
      </c>
      <c r="L41">
        <v>401.08</v>
      </c>
      <c r="M41">
        <v>374.99</v>
      </c>
      <c r="N41">
        <v>26.09</v>
      </c>
      <c r="O41" t="s">
        <v>38</v>
      </c>
      <c r="P41" t="s">
        <v>78</v>
      </c>
      <c r="Q41" t="s">
        <v>29</v>
      </c>
      <c r="R41" t="s">
        <v>30</v>
      </c>
      <c r="S41">
        <v>1</v>
      </c>
      <c r="T41" t="s">
        <v>31</v>
      </c>
      <c r="U41">
        <v>6.5049366709883316E-2</v>
      </c>
      <c r="X41">
        <v>49</v>
      </c>
      <c r="Y41">
        <v>45974</v>
      </c>
      <c r="Z41" t="str">
        <v>CUST1149</v>
      </c>
      <c r="AA41" t="str">
        <v>Customer 1080</v>
      </c>
      <c r="AB41" t="str">
        <v>North</v>
      </c>
      <c r="AC41" t="str">
        <v>Jaipur</v>
      </c>
      <c r="AD41" t="str">
        <v>Keyboard</v>
      </c>
      <c r="AE41" t="str">
        <v>Accessories</v>
      </c>
      <c r="AF41">
        <v>2</v>
      </c>
      <c r="AG41">
        <v>3400.7</v>
      </c>
      <c r="AH41">
        <v>0.15</v>
      </c>
      <c r="AI41">
        <v>5781.19</v>
      </c>
      <c r="AJ41">
        <v>5931.97</v>
      </c>
      <c r="AK41">
        <v>-150.78</v>
      </c>
      <c r="AL41" t="str">
        <v>Store</v>
      </c>
      <c r="AM41" t="str">
        <v>Net Banking</v>
      </c>
      <c r="AN41" t="str">
        <v>Home Office</v>
      </c>
      <c r="AO41" t="str">
        <v>Nov</v>
      </c>
      <c r="AP41">
        <v>11</v>
      </c>
      <c r="AQ41" t="str">
        <v>Q4</v>
      </c>
      <c r="AR41">
        <v>-2.6081135544758088E-2</v>
      </c>
    </row>
    <row r="42" spans="1:44">
      <c r="A42">
        <v>477</v>
      </c>
      <c r="B42" s="1">
        <v>45671</v>
      </c>
      <c r="C42" t="s">
        <v>144</v>
      </c>
      <c r="D42" t="s">
        <v>139</v>
      </c>
      <c r="E42" t="s">
        <v>34</v>
      </c>
      <c r="F42" t="s">
        <v>49</v>
      </c>
      <c r="G42" t="s">
        <v>145</v>
      </c>
      <c r="H42" t="s">
        <v>70</v>
      </c>
      <c r="I42">
        <v>4</v>
      </c>
      <c r="J42">
        <v>1286.4100000000001</v>
      </c>
      <c r="K42">
        <v>0.15</v>
      </c>
      <c r="L42">
        <v>4373.79</v>
      </c>
      <c r="M42">
        <v>3746.66</v>
      </c>
      <c r="N42">
        <v>627.13</v>
      </c>
      <c r="O42" t="s">
        <v>27</v>
      </c>
      <c r="P42" t="s">
        <v>71</v>
      </c>
      <c r="Q42" t="s">
        <v>29</v>
      </c>
      <c r="R42" t="s">
        <v>30</v>
      </c>
      <c r="S42">
        <v>1</v>
      </c>
      <c r="T42" t="s">
        <v>31</v>
      </c>
      <c r="U42">
        <v>0.14338365582252463</v>
      </c>
      <c r="X42">
        <v>991</v>
      </c>
      <c r="Y42">
        <v>45989</v>
      </c>
      <c r="Z42" t="str">
        <v>CUST1165</v>
      </c>
      <c r="AA42" t="str">
        <v>Customer 1242</v>
      </c>
      <c r="AB42" t="str">
        <v>North</v>
      </c>
      <c r="AC42" t="str">
        <v>Delhi</v>
      </c>
      <c r="AD42" t="str">
        <v>Backpack</v>
      </c>
      <c r="AE42" t="str">
        <v>Lifestyle</v>
      </c>
      <c r="AF42">
        <v>3</v>
      </c>
      <c r="AG42">
        <v>1807.82</v>
      </c>
      <c r="AH42">
        <v>0.15</v>
      </c>
      <c r="AI42">
        <v>4609.9399999999996</v>
      </c>
      <c r="AJ42">
        <v>4675.38</v>
      </c>
      <c r="AK42">
        <v>-65.44</v>
      </c>
      <c r="AL42" t="str">
        <v>Store</v>
      </c>
      <c r="AM42" t="str">
        <v>Credit Card</v>
      </c>
      <c r="AN42" t="str">
        <v>Home Office</v>
      </c>
      <c r="AO42" t="str">
        <v>Nov</v>
      </c>
      <c r="AP42">
        <v>11</v>
      </c>
      <c r="AQ42" t="str">
        <v>Q4</v>
      </c>
      <c r="AR42">
        <v>-1.4195412521638027E-2</v>
      </c>
    </row>
    <row r="43" spans="1:44">
      <c r="A43">
        <v>902</v>
      </c>
      <c r="B43" s="1">
        <v>45671</v>
      </c>
      <c r="C43" t="s">
        <v>146</v>
      </c>
      <c r="D43" t="s">
        <v>147</v>
      </c>
      <c r="E43" t="s">
        <v>97</v>
      </c>
      <c r="F43" t="s">
        <v>148</v>
      </c>
      <c r="G43" t="s">
        <v>59</v>
      </c>
      <c r="H43" t="s">
        <v>37</v>
      </c>
      <c r="I43">
        <v>1</v>
      </c>
      <c r="J43">
        <v>8103.96</v>
      </c>
      <c r="K43">
        <v>0.1</v>
      </c>
      <c r="L43">
        <v>7293.56</v>
      </c>
      <c r="M43">
        <v>5051.33</v>
      </c>
      <c r="N43">
        <v>2242.23</v>
      </c>
      <c r="O43" t="s">
        <v>27</v>
      </c>
      <c r="P43" t="s">
        <v>71</v>
      </c>
      <c r="Q43" t="s">
        <v>29</v>
      </c>
      <c r="R43" t="s">
        <v>30</v>
      </c>
      <c r="S43">
        <v>1</v>
      </c>
      <c r="T43" t="s">
        <v>31</v>
      </c>
      <c r="U43">
        <v>0.3074260032137941</v>
      </c>
      <c r="X43">
        <v>250</v>
      </c>
      <c r="Y43">
        <v>46016</v>
      </c>
      <c r="Z43" t="str">
        <v>CUST1092</v>
      </c>
      <c r="AA43" t="str">
        <v>Customer 1280</v>
      </c>
      <c r="AB43" t="str">
        <v>South</v>
      </c>
      <c r="AC43" t="str">
        <v>Bengaluru</v>
      </c>
      <c r="AD43" t="str">
        <v>Keyboard</v>
      </c>
      <c r="AE43" t="str">
        <v>Accessories</v>
      </c>
      <c r="AF43">
        <v>2</v>
      </c>
      <c r="AG43">
        <v>1724.61</v>
      </c>
      <c r="AH43">
        <v>0.15</v>
      </c>
      <c r="AI43">
        <v>2931.84</v>
      </c>
      <c r="AJ43">
        <v>3005.2</v>
      </c>
      <c r="AK43">
        <v>-73.36</v>
      </c>
      <c r="AL43" t="str">
        <v>Online</v>
      </c>
      <c r="AM43" t="str">
        <v>Debit Card</v>
      </c>
      <c r="AN43" t="str">
        <v>Consumer</v>
      </c>
      <c r="AO43" t="str">
        <v>Dec</v>
      </c>
      <c r="AP43">
        <v>12</v>
      </c>
      <c r="AQ43" t="str">
        <v>Q4</v>
      </c>
      <c r="AR43">
        <v>-2.5021829294913773E-2</v>
      </c>
    </row>
    <row r="44" spans="1:44">
      <c r="A44">
        <v>446</v>
      </c>
      <c r="B44" s="1">
        <v>45672</v>
      </c>
      <c r="C44" t="s">
        <v>149</v>
      </c>
      <c r="D44" t="s">
        <v>150</v>
      </c>
      <c r="E44" t="s">
        <v>76</v>
      </c>
      <c r="F44" t="s">
        <v>81</v>
      </c>
      <c r="G44" t="s">
        <v>25</v>
      </c>
      <c r="H44" t="s">
        <v>26</v>
      </c>
      <c r="I44">
        <v>2</v>
      </c>
      <c r="J44">
        <v>14925.98</v>
      </c>
      <c r="K44">
        <v>0.15</v>
      </c>
      <c r="L44">
        <v>25374.17</v>
      </c>
      <c r="M44">
        <v>18886.16</v>
      </c>
      <c r="N44">
        <v>6488.01</v>
      </c>
      <c r="O44" t="s">
        <v>38</v>
      </c>
      <c r="P44" t="s">
        <v>28</v>
      </c>
      <c r="Q44" t="s">
        <v>29</v>
      </c>
      <c r="R44" t="s">
        <v>30</v>
      </c>
      <c r="S44">
        <v>1</v>
      </c>
      <c r="T44" t="s">
        <v>31</v>
      </c>
      <c r="U44">
        <v>0.25569348672291548</v>
      </c>
      <c r="X44">
        <v>441</v>
      </c>
      <c r="Y44">
        <v>46021</v>
      </c>
      <c r="Z44" t="str">
        <v>CUST1095</v>
      </c>
      <c r="AA44" t="str">
        <v>Customer 1011</v>
      </c>
      <c r="AB44" t="str">
        <v>South</v>
      </c>
      <c r="AC44" t="str">
        <v>Hyderabad</v>
      </c>
      <c r="AD44" t="str">
        <v>Office Chair</v>
      </c>
      <c r="AE44" t="str">
        <v>Furniture</v>
      </c>
      <c r="AF44">
        <v>2</v>
      </c>
      <c r="AG44">
        <v>16731.240000000002</v>
      </c>
      <c r="AH44">
        <v>0.15</v>
      </c>
      <c r="AI44">
        <v>28443.11</v>
      </c>
      <c r="AJ44">
        <v>28625.15</v>
      </c>
      <c r="AK44">
        <v>-182.04</v>
      </c>
      <c r="AL44" t="str">
        <v>Store</v>
      </c>
      <c r="AM44" t="str">
        <v>Debit Card</v>
      </c>
      <c r="AN44" t="str">
        <v>Corporate</v>
      </c>
      <c r="AO44" t="str">
        <v>Dec</v>
      </c>
      <c r="AP44">
        <v>12</v>
      </c>
      <c r="AQ44" t="str">
        <v>Q4</v>
      </c>
      <c r="AR44">
        <v>-6.4001440067559413E-3</v>
      </c>
    </row>
    <row r="45" spans="1:44">
      <c r="A45">
        <v>652</v>
      </c>
      <c r="B45" s="1">
        <v>45673</v>
      </c>
      <c r="C45" t="s">
        <v>151</v>
      </c>
      <c r="D45" t="s">
        <v>152</v>
      </c>
      <c r="E45" t="s">
        <v>54</v>
      </c>
      <c r="F45" t="s">
        <v>108</v>
      </c>
      <c r="G45" t="s">
        <v>44</v>
      </c>
      <c r="H45" t="s">
        <v>26</v>
      </c>
      <c r="I45">
        <v>3</v>
      </c>
      <c r="J45">
        <v>65975.600000000006</v>
      </c>
      <c r="K45">
        <v>0.15</v>
      </c>
      <c r="L45">
        <v>168237.78</v>
      </c>
      <c r="M45">
        <v>152719.84</v>
      </c>
      <c r="N45">
        <v>15517.94</v>
      </c>
      <c r="O45" t="s">
        <v>38</v>
      </c>
      <c r="P45" t="s">
        <v>71</v>
      </c>
      <c r="Q45" t="s">
        <v>29</v>
      </c>
      <c r="R45" t="s">
        <v>30</v>
      </c>
      <c r="S45">
        <v>1</v>
      </c>
      <c r="T45" t="s">
        <v>31</v>
      </c>
      <c r="U45">
        <v>9.2238140565097812E-2</v>
      </c>
    </row>
    <row r="46" spans="1:44">
      <c r="A46">
        <v>579</v>
      </c>
      <c r="B46" s="1">
        <v>45673</v>
      </c>
      <c r="C46" t="s">
        <v>153</v>
      </c>
      <c r="D46" t="s">
        <v>154</v>
      </c>
      <c r="E46" t="s">
        <v>34</v>
      </c>
      <c r="F46" t="s">
        <v>86</v>
      </c>
      <c r="G46" t="s">
        <v>44</v>
      </c>
      <c r="H46" t="s">
        <v>26</v>
      </c>
      <c r="I46">
        <v>1</v>
      </c>
      <c r="J46">
        <v>55292.94</v>
      </c>
      <c r="K46">
        <v>0.05</v>
      </c>
      <c r="L46">
        <v>52528.29</v>
      </c>
      <c r="M46">
        <v>48314</v>
      </c>
      <c r="N46">
        <v>4214.29</v>
      </c>
      <c r="O46" t="s">
        <v>27</v>
      </c>
      <c r="P46" t="s">
        <v>28</v>
      </c>
      <c r="Q46" t="s">
        <v>40</v>
      </c>
      <c r="R46" t="s">
        <v>30</v>
      </c>
      <c r="S46">
        <v>1</v>
      </c>
      <c r="T46" t="s">
        <v>31</v>
      </c>
      <c r="U46">
        <v>8.0228958528823224E-2</v>
      </c>
    </row>
    <row r="47" spans="1:44">
      <c r="A47">
        <v>271</v>
      </c>
      <c r="B47" s="1">
        <v>45673</v>
      </c>
      <c r="C47" t="s">
        <v>106</v>
      </c>
      <c r="D47" t="s">
        <v>155</v>
      </c>
      <c r="E47" t="s">
        <v>54</v>
      </c>
      <c r="F47" t="s">
        <v>55</v>
      </c>
      <c r="G47" t="s">
        <v>25</v>
      </c>
      <c r="H47" t="s">
        <v>26</v>
      </c>
      <c r="I47">
        <v>2</v>
      </c>
      <c r="J47">
        <v>8976.3700000000008</v>
      </c>
      <c r="K47">
        <v>0.15</v>
      </c>
      <c r="L47">
        <v>15259.83</v>
      </c>
      <c r="M47">
        <v>13071.52</v>
      </c>
      <c r="N47">
        <v>2188.31</v>
      </c>
      <c r="O47" t="s">
        <v>38</v>
      </c>
      <c r="P47" t="s">
        <v>28</v>
      </c>
      <c r="Q47" t="s">
        <v>29</v>
      </c>
      <c r="R47" t="s">
        <v>30</v>
      </c>
      <c r="S47">
        <v>1</v>
      </c>
      <c r="T47" t="s">
        <v>31</v>
      </c>
      <c r="U47">
        <v>0.14340330134739376</v>
      </c>
    </row>
    <row r="48" spans="1:44">
      <c r="A48">
        <v>488</v>
      </c>
      <c r="B48" s="1">
        <v>45673</v>
      </c>
      <c r="C48" t="s">
        <v>156</v>
      </c>
      <c r="D48" t="s">
        <v>90</v>
      </c>
      <c r="E48" t="s">
        <v>76</v>
      </c>
      <c r="F48" t="s">
        <v>77</v>
      </c>
      <c r="G48" t="s">
        <v>69</v>
      </c>
      <c r="H48" t="s">
        <v>70</v>
      </c>
      <c r="I48">
        <v>1</v>
      </c>
      <c r="J48">
        <v>1264.07</v>
      </c>
      <c r="K48">
        <v>0.05</v>
      </c>
      <c r="L48">
        <v>1200.8699999999999</v>
      </c>
      <c r="M48">
        <v>1026.23</v>
      </c>
      <c r="N48">
        <v>174.64</v>
      </c>
      <c r="O48" t="s">
        <v>27</v>
      </c>
      <c r="P48" t="s">
        <v>45</v>
      </c>
      <c r="Q48" t="s">
        <v>29</v>
      </c>
      <c r="R48" t="s">
        <v>30</v>
      </c>
      <c r="S48">
        <v>1</v>
      </c>
      <c r="T48" t="s">
        <v>31</v>
      </c>
      <c r="U48">
        <v>0.14542789810720561</v>
      </c>
    </row>
    <row r="49" spans="1:21">
      <c r="A49">
        <v>962</v>
      </c>
      <c r="B49" s="1">
        <v>45673</v>
      </c>
      <c r="C49" t="s">
        <v>52</v>
      </c>
      <c r="D49" t="s">
        <v>157</v>
      </c>
      <c r="E49" t="s">
        <v>97</v>
      </c>
      <c r="F49" t="s">
        <v>148</v>
      </c>
      <c r="G49" t="s">
        <v>105</v>
      </c>
      <c r="H49" t="s">
        <v>26</v>
      </c>
      <c r="I49">
        <v>2</v>
      </c>
      <c r="J49">
        <v>6106.72</v>
      </c>
      <c r="K49">
        <v>0.15</v>
      </c>
      <c r="L49">
        <v>10381.42</v>
      </c>
      <c r="M49">
        <v>10224.84</v>
      </c>
      <c r="N49">
        <v>156.58000000000001</v>
      </c>
      <c r="O49" t="s">
        <v>27</v>
      </c>
      <c r="P49" t="s">
        <v>28</v>
      </c>
      <c r="Q49" t="s">
        <v>46</v>
      </c>
      <c r="R49" t="s">
        <v>30</v>
      </c>
      <c r="S49">
        <v>1</v>
      </c>
      <c r="T49" t="s">
        <v>31</v>
      </c>
      <c r="U49">
        <v>1.5082715081366519E-2</v>
      </c>
    </row>
    <row r="50" spans="1:21">
      <c r="A50">
        <v>235</v>
      </c>
      <c r="B50" s="1">
        <v>45674</v>
      </c>
      <c r="C50" t="s">
        <v>158</v>
      </c>
      <c r="D50" t="s">
        <v>159</v>
      </c>
      <c r="E50" t="s">
        <v>34</v>
      </c>
      <c r="F50" t="s">
        <v>35</v>
      </c>
      <c r="G50" t="s">
        <v>145</v>
      </c>
      <c r="H50" t="s">
        <v>70</v>
      </c>
      <c r="I50">
        <v>1</v>
      </c>
      <c r="J50">
        <v>2083.98</v>
      </c>
      <c r="K50">
        <v>0.15</v>
      </c>
      <c r="L50">
        <v>1771.38</v>
      </c>
      <c r="M50">
        <v>1446.25</v>
      </c>
      <c r="N50">
        <v>325.13</v>
      </c>
      <c r="O50" t="s">
        <v>38</v>
      </c>
      <c r="P50" t="s">
        <v>28</v>
      </c>
      <c r="Q50" t="s">
        <v>46</v>
      </c>
      <c r="R50" t="s">
        <v>30</v>
      </c>
      <c r="S50">
        <v>1</v>
      </c>
      <c r="T50" t="s">
        <v>31</v>
      </c>
      <c r="U50">
        <v>0.18354616174959634</v>
      </c>
    </row>
    <row r="51" spans="1:21">
      <c r="A51">
        <v>833</v>
      </c>
      <c r="B51" s="1">
        <v>45674</v>
      </c>
      <c r="C51" t="s">
        <v>160</v>
      </c>
      <c r="D51" t="s">
        <v>161</v>
      </c>
      <c r="E51" t="s">
        <v>23</v>
      </c>
      <c r="F51" t="s">
        <v>58</v>
      </c>
      <c r="G51" t="s">
        <v>69</v>
      </c>
      <c r="H51" t="s">
        <v>70</v>
      </c>
      <c r="I51">
        <v>2</v>
      </c>
      <c r="J51">
        <v>1719.19</v>
      </c>
      <c r="K51">
        <v>0</v>
      </c>
      <c r="L51">
        <v>3438.38</v>
      </c>
      <c r="M51">
        <v>2599.83</v>
      </c>
      <c r="N51">
        <v>838.55</v>
      </c>
      <c r="O51" t="s">
        <v>27</v>
      </c>
      <c r="P51" t="s">
        <v>45</v>
      </c>
      <c r="Q51" t="s">
        <v>46</v>
      </c>
      <c r="R51" t="s">
        <v>30</v>
      </c>
      <c r="S51">
        <v>1</v>
      </c>
      <c r="T51" t="s">
        <v>31</v>
      </c>
      <c r="U51">
        <v>0.243879385059243</v>
      </c>
    </row>
    <row r="52" spans="1:21">
      <c r="A52">
        <v>608</v>
      </c>
      <c r="B52" s="1">
        <v>45674</v>
      </c>
      <c r="C52" t="s">
        <v>162</v>
      </c>
      <c r="D52" t="s">
        <v>163</v>
      </c>
      <c r="E52" t="s">
        <v>23</v>
      </c>
      <c r="F52" t="s">
        <v>24</v>
      </c>
      <c r="G52" t="s">
        <v>50</v>
      </c>
      <c r="H52" t="s">
        <v>51</v>
      </c>
      <c r="I52">
        <v>2</v>
      </c>
      <c r="J52">
        <v>787.76</v>
      </c>
      <c r="K52">
        <v>0.1</v>
      </c>
      <c r="L52">
        <v>1417.97</v>
      </c>
      <c r="M52">
        <v>1009.87</v>
      </c>
      <c r="N52">
        <v>408.1</v>
      </c>
      <c r="O52" t="s">
        <v>27</v>
      </c>
      <c r="P52" t="s">
        <v>78</v>
      </c>
      <c r="Q52" t="s">
        <v>46</v>
      </c>
      <c r="R52" t="s">
        <v>30</v>
      </c>
      <c r="S52">
        <v>1</v>
      </c>
      <c r="T52" t="s">
        <v>31</v>
      </c>
      <c r="U52">
        <v>0.2878058068929526</v>
      </c>
    </row>
    <row r="53" spans="1:21">
      <c r="A53">
        <v>848</v>
      </c>
      <c r="B53" s="1">
        <v>45674</v>
      </c>
      <c r="C53" t="s">
        <v>164</v>
      </c>
      <c r="D53" t="s">
        <v>165</v>
      </c>
      <c r="E53" t="s">
        <v>76</v>
      </c>
      <c r="F53" t="s">
        <v>113</v>
      </c>
      <c r="G53" t="s">
        <v>66</v>
      </c>
      <c r="H53" t="s">
        <v>51</v>
      </c>
      <c r="I53">
        <v>4</v>
      </c>
      <c r="J53">
        <v>2943.1</v>
      </c>
      <c r="K53">
        <v>0.1</v>
      </c>
      <c r="L53">
        <v>10595.16</v>
      </c>
      <c r="M53">
        <v>10179.02</v>
      </c>
      <c r="N53">
        <v>416.14</v>
      </c>
      <c r="O53" t="s">
        <v>38</v>
      </c>
      <c r="P53" t="s">
        <v>78</v>
      </c>
      <c r="Q53" t="s">
        <v>29</v>
      </c>
      <c r="R53" t="s">
        <v>30</v>
      </c>
      <c r="S53">
        <v>1</v>
      </c>
      <c r="T53" t="s">
        <v>31</v>
      </c>
      <c r="U53">
        <v>3.9276424329599553E-2</v>
      </c>
    </row>
    <row r="54" spans="1:21">
      <c r="A54">
        <v>992</v>
      </c>
      <c r="B54" s="1">
        <v>45674</v>
      </c>
      <c r="C54" t="s">
        <v>166</v>
      </c>
      <c r="D54" t="s">
        <v>167</v>
      </c>
      <c r="E54" t="s">
        <v>34</v>
      </c>
      <c r="F54" t="s">
        <v>35</v>
      </c>
      <c r="G54" t="s">
        <v>99</v>
      </c>
      <c r="H54" t="s">
        <v>26</v>
      </c>
      <c r="I54">
        <v>1</v>
      </c>
      <c r="J54">
        <v>29690.67</v>
      </c>
      <c r="K54">
        <v>0.02</v>
      </c>
      <c r="L54">
        <v>29096.86</v>
      </c>
      <c r="M54">
        <v>19023.12</v>
      </c>
      <c r="N54">
        <v>10073.74</v>
      </c>
      <c r="O54" t="s">
        <v>38</v>
      </c>
      <c r="P54" t="s">
        <v>71</v>
      </c>
      <c r="Q54" t="s">
        <v>29</v>
      </c>
      <c r="R54" t="s">
        <v>30</v>
      </c>
      <c r="S54">
        <v>1</v>
      </c>
      <c r="T54" t="s">
        <v>31</v>
      </c>
      <c r="U54">
        <v>0.34621399010065002</v>
      </c>
    </row>
    <row r="55" spans="1:21">
      <c r="A55">
        <v>122</v>
      </c>
      <c r="B55" s="1">
        <v>45674</v>
      </c>
      <c r="C55" t="s">
        <v>168</v>
      </c>
      <c r="D55" t="s">
        <v>169</v>
      </c>
      <c r="E55" t="s">
        <v>76</v>
      </c>
      <c r="F55" t="s">
        <v>113</v>
      </c>
      <c r="G55" t="s">
        <v>62</v>
      </c>
      <c r="H55" t="s">
        <v>63</v>
      </c>
      <c r="I55">
        <v>2</v>
      </c>
      <c r="J55">
        <v>82.04</v>
      </c>
      <c r="K55">
        <v>0.05</v>
      </c>
      <c r="L55">
        <v>155.88</v>
      </c>
      <c r="M55">
        <v>143.59</v>
      </c>
      <c r="N55">
        <v>12.29</v>
      </c>
      <c r="O55" t="s">
        <v>27</v>
      </c>
      <c r="P55" t="s">
        <v>71</v>
      </c>
      <c r="Q55" t="s">
        <v>46</v>
      </c>
      <c r="R55" t="s">
        <v>30</v>
      </c>
      <c r="S55">
        <v>1</v>
      </c>
      <c r="T55" t="s">
        <v>31</v>
      </c>
      <c r="U55">
        <v>7.8842699512445463E-2</v>
      </c>
    </row>
    <row r="56" spans="1:21">
      <c r="A56">
        <v>509</v>
      </c>
      <c r="B56" s="1">
        <v>45674</v>
      </c>
      <c r="C56" t="s">
        <v>170</v>
      </c>
      <c r="D56" t="s">
        <v>171</v>
      </c>
      <c r="E56" t="s">
        <v>76</v>
      </c>
      <c r="F56" t="s">
        <v>81</v>
      </c>
      <c r="G56" t="s">
        <v>69</v>
      </c>
      <c r="H56" t="s">
        <v>70</v>
      </c>
      <c r="I56">
        <v>4</v>
      </c>
      <c r="J56">
        <v>2245.44</v>
      </c>
      <c r="K56">
        <v>0.05</v>
      </c>
      <c r="L56">
        <v>8532.67</v>
      </c>
      <c r="M56">
        <v>6027.54</v>
      </c>
      <c r="N56">
        <v>2505.13</v>
      </c>
      <c r="O56" t="s">
        <v>38</v>
      </c>
      <c r="P56" t="s">
        <v>39</v>
      </c>
      <c r="Q56" t="s">
        <v>40</v>
      </c>
      <c r="R56" t="s">
        <v>30</v>
      </c>
      <c r="S56">
        <v>1</v>
      </c>
      <c r="T56" t="s">
        <v>31</v>
      </c>
      <c r="U56">
        <v>0.29359274412346897</v>
      </c>
    </row>
    <row r="57" spans="1:21">
      <c r="A57">
        <v>796</v>
      </c>
      <c r="B57" s="1">
        <v>45675</v>
      </c>
      <c r="C57" t="s">
        <v>172</v>
      </c>
      <c r="D57" t="s">
        <v>129</v>
      </c>
      <c r="E57" t="s">
        <v>54</v>
      </c>
      <c r="F57" t="s">
        <v>108</v>
      </c>
      <c r="G57" t="s">
        <v>44</v>
      </c>
      <c r="H57" t="s">
        <v>26</v>
      </c>
      <c r="I57">
        <v>1</v>
      </c>
      <c r="J57">
        <v>68065.789999999994</v>
      </c>
      <c r="K57">
        <v>0.05</v>
      </c>
      <c r="L57">
        <v>64662.5</v>
      </c>
      <c r="M57">
        <v>53368.27</v>
      </c>
      <c r="N57">
        <v>11294.23</v>
      </c>
      <c r="O57" t="s">
        <v>38</v>
      </c>
      <c r="P57" t="s">
        <v>45</v>
      </c>
      <c r="Q57" t="s">
        <v>40</v>
      </c>
      <c r="R57" t="s">
        <v>30</v>
      </c>
      <c r="S57">
        <v>1</v>
      </c>
      <c r="T57" t="s">
        <v>31</v>
      </c>
      <c r="U57">
        <v>0.17466429537985695</v>
      </c>
    </row>
    <row r="58" spans="1:21">
      <c r="A58">
        <v>47</v>
      </c>
      <c r="B58" s="1">
        <v>45676</v>
      </c>
      <c r="C58" t="s">
        <v>173</v>
      </c>
      <c r="D58" t="s">
        <v>174</v>
      </c>
      <c r="E58" t="s">
        <v>54</v>
      </c>
      <c r="F58" t="s">
        <v>55</v>
      </c>
      <c r="G58" t="s">
        <v>105</v>
      </c>
      <c r="H58" t="s">
        <v>26</v>
      </c>
      <c r="I58">
        <v>3</v>
      </c>
      <c r="J58">
        <v>6484.6</v>
      </c>
      <c r="K58">
        <v>0.05</v>
      </c>
      <c r="L58">
        <v>18481.11</v>
      </c>
      <c r="M58">
        <v>13319.4</v>
      </c>
      <c r="N58">
        <v>5161.71</v>
      </c>
      <c r="O58" t="s">
        <v>38</v>
      </c>
      <c r="P58" t="s">
        <v>71</v>
      </c>
      <c r="Q58" t="s">
        <v>29</v>
      </c>
      <c r="R58" t="s">
        <v>30</v>
      </c>
      <c r="S58">
        <v>1</v>
      </c>
      <c r="T58" t="s">
        <v>31</v>
      </c>
      <c r="U58">
        <v>0.27929653576002739</v>
      </c>
    </row>
    <row r="59" spans="1:21">
      <c r="A59">
        <v>391</v>
      </c>
      <c r="B59" s="1">
        <v>45676</v>
      </c>
      <c r="C59" t="s">
        <v>175</v>
      </c>
      <c r="D59" t="s">
        <v>176</v>
      </c>
      <c r="E59" t="s">
        <v>34</v>
      </c>
      <c r="F59" t="s">
        <v>86</v>
      </c>
      <c r="G59" t="s">
        <v>25</v>
      </c>
      <c r="H59" t="s">
        <v>26</v>
      </c>
      <c r="I59">
        <v>2</v>
      </c>
      <c r="J59">
        <v>17436.05</v>
      </c>
      <c r="K59">
        <v>0.1</v>
      </c>
      <c r="L59">
        <v>31384.89</v>
      </c>
      <c r="M59">
        <v>22675.69</v>
      </c>
      <c r="N59">
        <v>8709.2000000000007</v>
      </c>
      <c r="O59" t="s">
        <v>27</v>
      </c>
      <c r="P59" t="s">
        <v>39</v>
      </c>
      <c r="Q59" t="s">
        <v>29</v>
      </c>
      <c r="R59" t="s">
        <v>30</v>
      </c>
      <c r="S59">
        <v>1</v>
      </c>
      <c r="T59" t="s">
        <v>31</v>
      </c>
      <c r="U59">
        <v>0.27749659151266742</v>
      </c>
    </row>
    <row r="60" spans="1:21">
      <c r="A60">
        <v>703</v>
      </c>
      <c r="B60" s="1">
        <v>45676</v>
      </c>
      <c r="C60" t="s">
        <v>100</v>
      </c>
      <c r="D60" t="s">
        <v>177</v>
      </c>
      <c r="E60" t="s">
        <v>34</v>
      </c>
      <c r="F60" t="s">
        <v>49</v>
      </c>
      <c r="G60" t="s">
        <v>66</v>
      </c>
      <c r="H60" t="s">
        <v>51</v>
      </c>
      <c r="I60">
        <v>3</v>
      </c>
      <c r="J60">
        <v>1732.15</v>
      </c>
      <c r="K60">
        <v>0</v>
      </c>
      <c r="L60">
        <v>5196.45</v>
      </c>
      <c r="M60">
        <v>3532.16</v>
      </c>
      <c r="N60">
        <v>1664.29</v>
      </c>
      <c r="O60" t="s">
        <v>27</v>
      </c>
      <c r="P60" t="s">
        <v>39</v>
      </c>
      <c r="Q60" t="s">
        <v>46</v>
      </c>
      <c r="R60" t="s">
        <v>30</v>
      </c>
      <c r="S60">
        <v>1</v>
      </c>
      <c r="T60" t="s">
        <v>31</v>
      </c>
      <c r="U60">
        <v>0.32027441811236518</v>
      </c>
    </row>
    <row r="61" spans="1:21">
      <c r="A61">
        <v>916</v>
      </c>
      <c r="B61" s="1">
        <v>45677</v>
      </c>
      <c r="C61" t="s">
        <v>178</v>
      </c>
      <c r="D61" t="s">
        <v>179</v>
      </c>
      <c r="E61" t="s">
        <v>76</v>
      </c>
      <c r="F61" t="s">
        <v>77</v>
      </c>
      <c r="G61" t="s">
        <v>62</v>
      </c>
      <c r="H61" t="s">
        <v>63</v>
      </c>
      <c r="I61">
        <v>1</v>
      </c>
      <c r="J61">
        <v>311.97000000000003</v>
      </c>
      <c r="K61">
        <v>0.02</v>
      </c>
      <c r="L61">
        <v>305.73</v>
      </c>
      <c r="M61">
        <v>238.78</v>
      </c>
      <c r="N61">
        <v>66.95</v>
      </c>
      <c r="O61" t="s">
        <v>38</v>
      </c>
      <c r="P61" t="s">
        <v>28</v>
      </c>
      <c r="Q61" t="s">
        <v>29</v>
      </c>
      <c r="R61" t="s">
        <v>30</v>
      </c>
      <c r="S61">
        <v>1</v>
      </c>
      <c r="T61" t="s">
        <v>31</v>
      </c>
      <c r="U61">
        <v>0.21898407091224281</v>
      </c>
    </row>
    <row r="62" spans="1:21">
      <c r="A62">
        <v>424</v>
      </c>
      <c r="B62" s="1">
        <v>45677</v>
      </c>
      <c r="C62" t="s">
        <v>109</v>
      </c>
      <c r="D62" t="s">
        <v>180</v>
      </c>
      <c r="E62" t="s">
        <v>23</v>
      </c>
      <c r="F62" t="s">
        <v>43</v>
      </c>
      <c r="G62" t="s">
        <v>145</v>
      </c>
      <c r="H62" t="s">
        <v>70</v>
      </c>
      <c r="I62">
        <v>2</v>
      </c>
      <c r="J62">
        <v>1254.98</v>
      </c>
      <c r="K62">
        <v>0.02</v>
      </c>
      <c r="L62">
        <v>2459.7600000000002</v>
      </c>
      <c r="M62">
        <v>1599.12</v>
      </c>
      <c r="N62">
        <v>860.64</v>
      </c>
      <c r="O62" t="s">
        <v>38</v>
      </c>
      <c r="P62" t="s">
        <v>45</v>
      </c>
      <c r="Q62" t="s">
        <v>29</v>
      </c>
      <c r="R62" t="s">
        <v>30</v>
      </c>
      <c r="S62">
        <v>1</v>
      </c>
      <c r="T62" t="s">
        <v>31</v>
      </c>
      <c r="U62">
        <v>0.34988779393111519</v>
      </c>
    </row>
    <row r="63" spans="1:21">
      <c r="A63">
        <v>456</v>
      </c>
      <c r="B63" s="1">
        <v>45678</v>
      </c>
      <c r="C63" t="s">
        <v>181</v>
      </c>
      <c r="D63" t="s">
        <v>182</v>
      </c>
      <c r="E63" t="s">
        <v>34</v>
      </c>
      <c r="F63" t="s">
        <v>35</v>
      </c>
      <c r="G63" t="s">
        <v>145</v>
      </c>
      <c r="H63" t="s">
        <v>70</v>
      </c>
      <c r="I63">
        <v>2</v>
      </c>
      <c r="J63">
        <v>1061.95</v>
      </c>
      <c r="K63">
        <v>0.15</v>
      </c>
      <c r="L63">
        <v>1805.32</v>
      </c>
      <c r="M63">
        <v>1544.55</v>
      </c>
      <c r="N63">
        <v>260.77</v>
      </c>
      <c r="O63" t="s">
        <v>27</v>
      </c>
      <c r="P63" t="s">
        <v>71</v>
      </c>
      <c r="Q63" t="s">
        <v>29</v>
      </c>
      <c r="R63" t="s">
        <v>30</v>
      </c>
      <c r="S63">
        <v>1</v>
      </c>
      <c r="T63" t="s">
        <v>31</v>
      </c>
      <c r="U63">
        <v>0.14444530609531828</v>
      </c>
    </row>
    <row r="64" spans="1:21">
      <c r="A64">
        <v>156</v>
      </c>
      <c r="B64" s="1">
        <v>45678</v>
      </c>
      <c r="C64" t="s">
        <v>183</v>
      </c>
      <c r="D64" t="s">
        <v>184</v>
      </c>
      <c r="E64" t="s">
        <v>54</v>
      </c>
      <c r="F64" t="s">
        <v>55</v>
      </c>
      <c r="G64" t="s">
        <v>50</v>
      </c>
      <c r="H64" t="s">
        <v>51</v>
      </c>
      <c r="I64">
        <v>3</v>
      </c>
      <c r="J64">
        <v>1217.8599999999999</v>
      </c>
      <c r="K64">
        <v>0.02</v>
      </c>
      <c r="L64">
        <v>3580.51</v>
      </c>
      <c r="M64">
        <v>2944.89</v>
      </c>
      <c r="N64">
        <v>635.62</v>
      </c>
      <c r="O64" t="s">
        <v>27</v>
      </c>
      <c r="P64" t="s">
        <v>28</v>
      </c>
      <c r="Q64" t="s">
        <v>46</v>
      </c>
      <c r="R64" t="s">
        <v>30</v>
      </c>
      <c r="S64">
        <v>1</v>
      </c>
      <c r="T64" t="s">
        <v>31</v>
      </c>
      <c r="U64">
        <v>0.17752219655859081</v>
      </c>
    </row>
    <row r="65" spans="1:21">
      <c r="A65">
        <v>207</v>
      </c>
      <c r="B65" s="1">
        <v>45678</v>
      </c>
      <c r="C65" t="s">
        <v>185</v>
      </c>
      <c r="D65" t="s">
        <v>186</v>
      </c>
      <c r="E65" t="s">
        <v>76</v>
      </c>
      <c r="F65" t="s">
        <v>77</v>
      </c>
      <c r="G65" t="s">
        <v>66</v>
      </c>
      <c r="H65" t="s">
        <v>51</v>
      </c>
      <c r="I65">
        <v>3</v>
      </c>
      <c r="J65">
        <v>1988.86</v>
      </c>
      <c r="K65">
        <v>0</v>
      </c>
      <c r="L65">
        <v>5966.58</v>
      </c>
      <c r="M65">
        <v>4466.37</v>
      </c>
      <c r="N65">
        <v>1500.21</v>
      </c>
      <c r="O65" t="s">
        <v>38</v>
      </c>
      <c r="P65" t="s">
        <v>45</v>
      </c>
      <c r="Q65" t="s">
        <v>29</v>
      </c>
      <c r="R65" t="s">
        <v>30</v>
      </c>
      <c r="S65">
        <v>1</v>
      </c>
      <c r="T65" t="s">
        <v>31</v>
      </c>
      <c r="U65">
        <v>0.2514354957111109</v>
      </c>
    </row>
    <row r="66" spans="1:21">
      <c r="A66">
        <v>23</v>
      </c>
      <c r="B66" s="1">
        <v>45679</v>
      </c>
      <c r="C66" t="s">
        <v>187</v>
      </c>
      <c r="D66" t="s">
        <v>188</v>
      </c>
      <c r="E66" t="s">
        <v>76</v>
      </c>
      <c r="F66" t="s">
        <v>81</v>
      </c>
      <c r="G66" t="s">
        <v>105</v>
      </c>
      <c r="H66" t="s">
        <v>26</v>
      </c>
      <c r="I66">
        <v>1</v>
      </c>
      <c r="J66">
        <v>5671.77</v>
      </c>
      <c r="K66">
        <v>0.1</v>
      </c>
      <c r="L66">
        <v>5104.59</v>
      </c>
      <c r="M66">
        <v>4266.83</v>
      </c>
      <c r="N66">
        <v>837.76</v>
      </c>
      <c r="O66" t="s">
        <v>27</v>
      </c>
      <c r="P66" t="s">
        <v>71</v>
      </c>
      <c r="Q66" t="s">
        <v>46</v>
      </c>
      <c r="R66" t="s">
        <v>30</v>
      </c>
      <c r="S66">
        <v>1</v>
      </c>
      <c r="T66" t="s">
        <v>31</v>
      </c>
      <c r="U66">
        <v>0.16411895960302395</v>
      </c>
    </row>
    <row r="67" spans="1:21">
      <c r="A67">
        <v>299</v>
      </c>
      <c r="B67" s="1">
        <v>45679</v>
      </c>
      <c r="C67" t="s">
        <v>189</v>
      </c>
      <c r="D67" t="s">
        <v>171</v>
      </c>
      <c r="E67" t="s">
        <v>23</v>
      </c>
      <c r="F67" t="s">
        <v>43</v>
      </c>
      <c r="G67" t="s">
        <v>25</v>
      </c>
      <c r="H67" t="s">
        <v>26</v>
      </c>
      <c r="I67">
        <v>1</v>
      </c>
      <c r="J67">
        <v>11935.06</v>
      </c>
      <c r="K67">
        <v>0.1</v>
      </c>
      <c r="L67">
        <v>10741.55</v>
      </c>
      <c r="M67">
        <v>10455.870000000001</v>
      </c>
      <c r="N67">
        <v>285.68</v>
      </c>
      <c r="O67" t="s">
        <v>27</v>
      </c>
      <c r="P67" t="s">
        <v>28</v>
      </c>
      <c r="Q67" t="s">
        <v>46</v>
      </c>
      <c r="R67" t="s">
        <v>30</v>
      </c>
      <c r="S67">
        <v>1</v>
      </c>
      <c r="T67" t="s">
        <v>31</v>
      </c>
      <c r="U67">
        <v>2.6595789248292846E-2</v>
      </c>
    </row>
    <row r="68" spans="1:21">
      <c r="A68">
        <v>124</v>
      </c>
      <c r="B68" s="1">
        <v>45679</v>
      </c>
      <c r="C68" t="s">
        <v>190</v>
      </c>
      <c r="D68" t="s">
        <v>57</v>
      </c>
      <c r="E68" t="s">
        <v>54</v>
      </c>
      <c r="F68" t="s">
        <v>55</v>
      </c>
      <c r="G68" t="s">
        <v>44</v>
      </c>
      <c r="H68" t="s">
        <v>26</v>
      </c>
      <c r="I68">
        <v>1</v>
      </c>
      <c r="J68">
        <v>70419.69</v>
      </c>
      <c r="K68">
        <v>0.02</v>
      </c>
      <c r="L68">
        <v>69011.3</v>
      </c>
      <c r="M68">
        <v>52330.93</v>
      </c>
      <c r="N68">
        <v>16680.37</v>
      </c>
      <c r="O68" t="s">
        <v>27</v>
      </c>
      <c r="P68" t="s">
        <v>71</v>
      </c>
      <c r="Q68" t="s">
        <v>46</v>
      </c>
      <c r="R68" t="s">
        <v>30</v>
      </c>
      <c r="S68">
        <v>1</v>
      </c>
      <c r="T68" t="s">
        <v>31</v>
      </c>
      <c r="U68">
        <v>0.24170490919603019</v>
      </c>
    </row>
    <row r="69" spans="1:21">
      <c r="A69">
        <v>672</v>
      </c>
      <c r="B69" s="1">
        <v>45680</v>
      </c>
      <c r="C69" t="s">
        <v>191</v>
      </c>
      <c r="D69" t="s">
        <v>192</v>
      </c>
      <c r="E69" t="s">
        <v>34</v>
      </c>
      <c r="F69" t="s">
        <v>49</v>
      </c>
      <c r="G69" t="s">
        <v>50</v>
      </c>
      <c r="H69" t="s">
        <v>51</v>
      </c>
      <c r="I69">
        <v>2</v>
      </c>
      <c r="J69">
        <v>1282.31</v>
      </c>
      <c r="K69">
        <v>0.1</v>
      </c>
      <c r="L69">
        <v>2308.16</v>
      </c>
      <c r="M69">
        <v>1795.67</v>
      </c>
      <c r="N69">
        <v>512.49</v>
      </c>
      <c r="O69" t="s">
        <v>38</v>
      </c>
      <c r="P69" t="s">
        <v>71</v>
      </c>
      <c r="Q69" t="s">
        <v>29</v>
      </c>
      <c r="R69" t="s">
        <v>30</v>
      </c>
      <c r="S69">
        <v>1</v>
      </c>
      <c r="T69" t="s">
        <v>31</v>
      </c>
      <c r="U69">
        <v>0.22203400110910856</v>
      </c>
    </row>
    <row r="70" spans="1:21">
      <c r="A70">
        <v>692</v>
      </c>
      <c r="B70" s="1">
        <v>45680</v>
      </c>
      <c r="C70" t="s">
        <v>193</v>
      </c>
      <c r="D70" t="s">
        <v>194</v>
      </c>
      <c r="E70" t="s">
        <v>54</v>
      </c>
      <c r="F70" t="s">
        <v>127</v>
      </c>
      <c r="G70" t="s">
        <v>44</v>
      </c>
      <c r="H70" t="s">
        <v>26</v>
      </c>
      <c r="I70">
        <v>4</v>
      </c>
      <c r="J70">
        <v>68767.149999999994</v>
      </c>
      <c r="K70">
        <v>0</v>
      </c>
      <c r="L70">
        <v>275068.59999999998</v>
      </c>
      <c r="M70">
        <v>188755.38</v>
      </c>
      <c r="N70">
        <v>86313.22</v>
      </c>
      <c r="O70" t="s">
        <v>38</v>
      </c>
      <c r="P70" t="s">
        <v>28</v>
      </c>
      <c r="Q70" t="s">
        <v>40</v>
      </c>
      <c r="R70" t="s">
        <v>30</v>
      </c>
      <c r="S70">
        <v>1</v>
      </c>
      <c r="T70" t="s">
        <v>31</v>
      </c>
      <c r="U70">
        <v>0.31378797870785691</v>
      </c>
    </row>
    <row r="71" spans="1:21">
      <c r="A71">
        <v>794</v>
      </c>
      <c r="B71" s="1">
        <v>45681</v>
      </c>
      <c r="C71" t="s">
        <v>195</v>
      </c>
      <c r="D71" t="s">
        <v>196</v>
      </c>
      <c r="E71" t="s">
        <v>23</v>
      </c>
      <c r="F71" t="s">
        <v>24</v>
      </c>
      <c r="G71" t="s">
        <v>145</v>
      </c>
      <c r="H71" t="s">
        <v>70</v>
      </c>
      <c r="I71">
        <v>2</v>
      </c>
      <c r="J71">
        <v>779.69</v>
      </c>
      <c r="K71">
        <v>0</v>
      </c>
      <c r="L71">
        <v>1559.38</v>
      </c>
      <c r="M71">
        <v>982.15</v>
      </c>
      <c r="N71">
        <v>577.23</v>
      </c>
      <c r="O71" t="s">
        <v>27</v>
      </c>
      <c r="P71" t="s">
        <v>71</v>
      </c>
      <c r="Q71" t="s">
        <v>29</v>
      </c>
      <c r="R71" t="s">
        <v>30</v>
      </c>
      <c r="S71">
        <v>1</v>
      </c>
      <c r="T71" t="s">
        <v>31</v>
      </c>
      <c r="U71">
        <v>0.37016634816401389</v>
      </c>
    </row>
    <row r="72" spans="1:21">
      <c r="A72">
        <v>485</v>
      </c>
      <c r="B72" s="1">
        <v>45681</v>
      </c>
      <c r="C72" t="s">
        <v>197</v>
      </c>
      <c r="D72" t="s">
        <v>198</v>
      </c>
      <c r="E72" t="s">
        <v>23</v>
      </c>
      <c r="F72" t="s">
        <v>43</v>
      </c>
      <c r="G72" t="s">
        <v>145</v>
      </c>
      <c r="H72" t="s">
        <v>70</v>
      </c>
      <c r="I72">
        <v>1</v>
      </c>
      <c r="J72">
        <v>1073.46</v>
      </c>
      <c r="K72">
        <v>0</v>
      </c>
      <c r="L72">
        <v>1073.46</v>
      </c>
      <c r="M72">
        <v>931.08</v>
      </c>
      <c r="N72">
        <v>142.38</v>
      </c>
      <c r="O72" t="s">
        <v>38</v>
      </c>
      <c r="P72" t="s">
        <v>78</v>
      </c>
      <c r="Q72" t="s">
        <v>46</v>
      </c>
      <c r="R72" t="s">
        <v>30</v>
      </c>
      <c r="S72">
        <v>1</v>
      </c>
      <c r="T72" t="s">
        <v>31</v>
      </c>
      <c r="U72">
        <v>0.13263652115588842</v>
      </c>
    </row>
    <row r="73" spans="1:21">
      <c r="A73">
        <v>43</v>
      </c>
      <c r="B73" s="1">
        <v>45682</v>
      </c>
      <c r="C73" t="s">
        <v>199</v>
      </c>
      <c r="D73" t="s">
        <v>200</v>
      </c>
      <c r="E73" t="s">
        <v>54</v>
      </c>
      <c r="F73" t="s">
        <v>108</v>
      </c>
      <c r="G73" t="s">
        <v>99</v>
      </c>
      <c r="H73" t="s">
        <v>26</v>
      </c>
      <c r="I73">
        <v>4</v>
      </c>
      <c r="J73">
        <v>21042.2</v>
      </c>
      <c r="K73">
        <v>0.15</v>
      </c>
      <c r="L73">
        <v>71543.48</v>
      </c>
      <c r="M73">
        <v>54191.5</v>
      </c>
      <c r="N73">
        <v>17351.98</v>
      </c>
      <c r="O73" t="s">
        <v>27</v>
      </c>
      <c r="P73" t="s">
        <v>28</v>
      </c>
      <c r="Q73" t="s">
        <v>46</v>
      </c>
      <c r="R73" t="s">
        <v>30</v>
      </c>
      <c r="S73">
        <v>1</v>
      </c>
      <c r="T73" t="s">
        <v>31</v>
      </c>
      <c r="U73">
        <v>0.24253754500060662</v>
      </c>
    </row>
    <row r="74" spans="1:21">
      <c r="A74">
        <v>797</v>
      </c>
      <c r="B74" s="1">
        <v>45682</v>
      </c>
      <c r="C74" t="s">
        <v>201</v>
      </c>
      <c r="D74" t="s">
        <v>202</v>
      </c>
      <c r="E74" t="s">
        <v>76</v>
      </c>
      <c r="F74" t="s">
        <v>81</v>
      </c>
      <c r="G74" t="s">
        <v>62</v>
      </c>
      <c r="H74" t="s">
        <v>63</v>
      </c>
      <c r="I74">
        <v>2</v>
      </c>
      <c r="J74">
        <v>382.11</v>
      </c>
      <c r="K74">
        <v>0.1</v>
      </c>
      <c r="L74">
        <v>687.8</v>
      </c>
      <c r="M74">
        <v>585.22</v>
      </c>
      <c r="N74">
        <v>102.58</v>
      </c>
      <c r="O74" t="s">
        <v>27</v>
      </c>
      <c r="P74" t="s">
        <v>78</v>
      </c>
      <c r="Q74" t="s">
        <v>40</v>
      </c>
      <c r="R74" t="s">
        <v>30</v>
      </c>
      <c r="S74">
        <v>1</v>
      </c>
      <c r="T74" t="s">
        <v>31</v>
      </c>
      <c r="U74">
        <v>0.14914219249781915</v>
      </c>
    </row>
    <row r="75" spans="1:21">
      <c r="A75">
        <v>868</v>
      </c>
      <c r="B75" s="1">
        <v>45682</v>
      </c>
      <c r="C75" t="s">
        <v>203</v>
      </c>
      <c r="D75" t="s">
        <v>204</v>
      </c>
      <c r="E75" t="s">
        <v>34</v>
      </c>
      <c r="F75" t="s">
        <v>49</v>
      </c>
      <c r="G75" t="s">
        <v>36</v>
      </c>
      <c r="H75" t="s">
        <v>37</v>
      </c>
      <c r="I75">
        <v>2</v>
      </c>
      <c r="J75">
        <v>9329.36</v>
      </c>
      <c r="K75">
        <v>0.15</v>
      </c>
      <c r="L75">
        <v>15859.91</v>
      </c>
      <c r="M75">
        <v>14867.49</v>
      </c>
      <c r="N75">
        <v>992.42</v>
      </c>
      <c r="O75" t="s">
        <v>38</v>
      </c>
      <c r="P75" t="s">
        <v>28</v>
      </c>
      <c r="Q75" t="s">
        <v>46</v>
      </c>
      <c r="R75" t="s">
        <v>30</v>
      </c>
      <c r="S75">
        <v>1</v>
      </c>
      <c r="T75" t="s">
        <v>31</v>
      </c>
      <c r="U75">
        <v>6.2574125578266207E-2</v>
      </c>
    </row>
    <row r="76" spans="1:21">
      <c r="A76">
        <v>174</v>
      </c>
      <c r="B76" s="1">
        <v>45682</v>
      </c>
      <c r="C76" t="s">
        <v>205</v>
      </c>
      <c r="D76" t="s">
        <v>184</v>
      </c>
      <c r="E76" t="s">
        <v>97</v>
      </c>
      <c r="F76" t="s">
        <v>104</v>
      </c>
      <c r="G76" t="s">
        <v>44</v>
      </c>
      <c r="H76" t="s">
        <v>26</v>
      </c>
      <c r="I76">
        <v>3</v>
      </c>
      <c r="J76">
        <v>67125.06</v>
      </c>
      <c r="K76">
        <v>0.15</v>
      </c>
      <c r="L76">
        <v>171168.9</v>
      </c>
      <c r="M76">
        <v>141477.78</v>
      </c>
      <c r="N76">
        <v>29691.119999999999</v>
      </c>
      <c r="O76" t="s">
        <v>27</v>
      </c>
      <c r="P76" t="s">
        <v>71</v>
      </c>
      <c r="Q76" t="s">
        <v>40</v>
      </c>
      <c r="R76" t="s">
        <v>30</v>
      </c>
      <c r="S76">
        <v>1</v>
      </c>
      <c r="T76" t="s">
        <v>31</v>
      </c>
      <c r="U76">
        <v>0.17346094997397307</v>
      </c>
    </row>
    <row r="77" spans="1:21">
      <c r="A77">
        <v>773</v>
      </c>
      <c r="B77" s="1">
        <v>45682</v>
      </c>
      <c r="C77" t="s">
        <v>117</v>
      </c>
      <c r="D77" t="s">
        <v>163</v>
      </c>
      <c r="E77" t="s">
        <v>34</v>
      </c>
      <c r="F77" t="s">
        <v>86</v>
      </c>
      <c r="G77" t="s">
        <v>134</v>
      </c>
      <c r="H77" t="s">
        <v>26</v>
      </c>
      <c r="I77">
        <v>3</v>
      </c>
      <c r="J77">
        <v>50816.86</v>
      </c>
      <c r="K77">
        <v>0.15</v>
      </c>
      <c r="L77">
        <v>129582.99</v>
      </c>
      <c r="M77">
        <v>109355.78</v>
      </c>
      <c r="N77">
        <v>20227.21</v>
      </c>
      <c r="O77" t="s">
        <v>38</v>
      </c>
      <c r="P77" t="s">
        <v>45</v>
      </c>
      <c r="Q77" t="s">
        <v>40</v>
      </c>
      <c r="R77" t="s">
        <v>30</v>
      </c>
      <c r="S77">
        <v>1</v>
      </c>
      <c r="T77" t="s">
        <v>31</v>
      </c>
      <c r="U77">
        <v>0.15609463865589149</v>
      </c>
    </row>
    <row r="78" spans="1:21">
      <c r="A78">
        <v>280</v>
      </c>
      <c r="B78" s="1">
        <v>45682</v>
      </c>
      <c r="C78" t="s">
        <v>206</v>
      </c>
      <c r="D78" t="s">
        <v>143</v>
      </c>
      <c r="E78" t="s">
        <v>97</v>
      </c>
      <c r="F78" t="s">
        <v>98</v>
      </c>
      <c r="G78" t="s">
        <v>50</v>
      </c>
      <c r="H78" t="s">
        <v>51</v>
      </c>
      <c r="I78">
        <v>4</v>
      </c>
      <c r="J78">
        <v>1170.75</v>
      </c>
      <c r="K78">
        <v>0.02</v>
      </c>
      <c r="L78">
        <v>4589.34</v>
      </c>
      <c r="M78">
        <v>3994.5</v>
      </c>
      <c r="N78">
        <v>594.84</v>
      </c>
      <c r="O78" t="s">
        <v>27</v>
      </c>
      <c r="P78" t="s">
        <v>78</v>
      </c>
      <c r="Q78" t="s">
        <v>46</v>
      </c>
      <c r="R78" t="s">
        <v>30</v>
      </c>
      <c r="S78">
        <v>1</v>
      </c>
      <c r="T78" t="s">
        <v>31</v>
      </c>
      <c r="U78">
        <v>0.12961340846396213</v>
      </c>
    </row>
    <row r="79" spans="1:21">
      <c r="A79">
        <v>67</v>
      </c>
      <c r="B79" s="1">
        <v>45682</v>
      </c>
      <c r="C79" t="s">
        <v>151</v>
      </c>
      <c r="D79" t="s">
        <v>207</v>
      </c>
      <c r="E79" t="s">
        <v>76</v>
      </c>
      <c r="F79" t="s">
        <v>77</v>
      </c>
      <c r="G79" t="s">
        <v>59</v>
      </c>
      <c r="H79" t="s">
        <v>37</v>
      </c>
      <c r="I79">
        <v>4</v>
      </c>
      <c r="J79">
        <v>9187.0300000000007</v>
      </c>
      <c r="K79">
        <v>0.02</v>
      </c>
      <c r="L79">
        <v>36013.160000000003</v>
      </c>
      <c r="M79">
        <v>27898.7</v>
      </c>
      <c r="N79">
        <v>8114.46</v>
      </c>
      <c r="O79" t="s">
        <v>27</v>
      </c>
      <c r="P79" t="s">
        <v>28</v>
      </c>
      <c r="Q79" t="s">
        <v>40</v>
      </c>
      <c r="R79" t="s">
        <v>30</v>
      </c>
      <c r="S79">
        <v>1</v>
      </c>
      <c r="T79" t="s">
        <v>31</v>
      </c>
      <c r="U79">
        <v>0.22531929994479793</v>
      </c>
    </row>
    <row r="80" spans="1:21">
      <c r="A80">
        <v>457</v>
      </c>
      <c r="B80" s="1">
        <v>45682</v>
      </c>
      <c r="C80" t="s">
        <v>208</v>
      </c>
      <c r="D80" t="s">
        <v>48</v>
      </c>
      <c r="E80" t="s">
        <v>97</v>
      </c>
      <c r="F80" t="s">
        <v>104</v>
      </c>
      <c r="G80" t="s">
        <v>99</v>
      </c>
      <c r="H80" t="s">
        <v>26</v>
      </c>
      <c r="I80">
        <v>2</v>
      </c>
      <c r="J80">
        <v>14487.99</v>
      </c>
      <c r="K80">
        <v>0.1</v>
      </c>
      <c r="L80">
        <v>26078.38</v>
      </c>
      <c r="M80">
        <v>22480.080000000002</v>
      </c>
      <c r="N80">
        <v>3598.3</v>
      </c>
      <c r="O80" t="s">
        <v>27</v>
      </c>
      <c r="P80" t="s">
        <v>39</v>
      </c>
      <c r="Q80" t="s">
        <v>29</v>
      </c>
      <c r="R80" t="s">
        <v>30</v>
      </c>
      <c r="S80">
        <v>1</v>
      </c>
      <c r="T80" t="s">
        <v>31</v>
      </c>
      <c r="U80">
        <v>0.13798019662264296</v>
      </c>
    </row>
    <row r="81" spans="1:21">
      <c r="A81">
        <v>524</v>
      </c>
      <c r="B81" s="1">
        <v>45683</v>
      </c>
      <c r="C81" t="s">
        <v>209</v>
      </c>
      <c r="D81" t="s">
        <v>210</v>
      </c>
      <c r="E81" t="s">
        <v>54</v>
      </c>
      <c r="F81" t="s">
        <v>55</v>
      </c>
      <c r="G81" t="s">
        <v>99</v>
      </c>
      <c r="H81" t="s">
        <v>26</v>
      </c>
      <c r="I81">
        <v>1</v>
      </c>
      <c r="J81">
        <v>24885.47</v>
      </c>
      <c r="K81">
        <v>0.1</v>
      </c>
      <c r="L81">
        <v>22396.92</v>
      </c>
      <c r="M81">
        <v>16889.900000000001</v>
      </c>
      <c r="N81">
        <v>5507.02</v>
      </c>
      <c r="O81" t="s">
        <v>38</v>
      </c>
      <c r="P81" t="s">
        <v>71</v>
      </c>
      <c r="Q81" t="s">
        <v>29</v>
      </c>
      <c r="R81" t="s">
        <v>30</v>
      </c>
      <c r="S81">
        <v>1</v>
      </c>
      <c r="T81" t="s">
        <v>31</v>
      </c>
      <c r="U81">
        <v>0.24588291604381321</v>
      </c>
    </row>
    <row r="82" spans="1:21">
      <c r="A82">
        <v>686</v>
      </c>
      <c r="B82" s="1">
        <v>45685</v>
      </c>
      <c r="C82" t="s">
        <v>211</v>
      </c>
      <c r="D82" t="s">
        <v>212</v>
      </c>
      <c r="E82" t="s">
        <v>34</v>
      </c>
      <c r="F82" t="s">
        <v>86</v>
      </c>
      <c r="G82" t="s">
        <v>50</v>
      </c>
      <c r="H82" t="s">
        <v>51</v>
      </c>
      <c r="I82">
        <v>1</v>
      </c>
      <c r="J82">
        <v>830.29</v>
      </c>
      <c r="K82">
        <v>0.02</v>
      </c>
      <c r="L82">
        <v>813.68</v>
      </c>
      <c r="M82">
        <v>539.23</v>
      </c>
      <c r="N82">
        <v>274.45</v>
      </c>
      <c r="O82" t="s">
        <v>27</v>
      </c>
      <c r="P82" t="s">
        <v>28</v>
      </c>
      <c r="Q82" t="s">
        <v>40</v>
      </c>
      <c r="R82" t="s">
        <v>30</v>
      </c>
      <c r="S82">
        <v>1</v>
      </c>
      <c r="T82" t="s">
        <v>31</v>
      </c>
      <c r="U82">
        <v>0.33729475961065775</v>
      </c>
    </row>
    <row r="83" spans="1:21">
      <c r="A83">
        <v>272</v>
      </c>
      <c r="B83" s="1">
        <v>45685</v>
      </c>
      <c r="C83" t="s">
        <v>213</v>
      </c>
      <c r="D83" t="s">
        <v>214</v>
      </c>
      <c r="E83" t="s">
        <v>76</v>
      </c>
      <c r="F83" t="s">
        <v>113</v>
      </c>
      <c r="G83" t="s">
        <v>134</v>
      </c>
      <c r="H83" t="s">
        <v>26</v>
      </c>
      <c r="I83">
        <v>4</v>
      </c>
      <c r="J83">
        <v>32605.17</v>
      </c>
      <c r="K83">
        <v>0.1</v>
      </c>
      <c r="L83">
        <v>117378.61</v>
      </c>
      <c r="M83">
        <v>105906.2</v>
      </c>
      <c r="N83">
        <v>11472.41</v>
      </c>
      <c r="O83" t="s">
        <v>27</v>
      </c>
      <c r="P83" t="s">
        <v>28</v>
      </c>
      <c r="Q83" t="s">
        <v>29</v>
      </c>
      <c r="R83" t="s">
        <v>30</v>
      </c>
      <c r="S83">
        <v>1</v>
      </c>
      <c r="T83" t="s">
        <v>31</v>
      </c>
      <c r="U83">
        <v>9.7738506189500793E-2</v>
      </c>
    </row>
    <row r="84" spans="1:21">
      <c r="A84">
        <v>877</v>
      </c>
      <c r="B84" s="1">
        <v>45686</v>
      </c>
      <c r="C84" t="s">
        <v>138</v>
      </c>
      <c r="D84" t="s">
        <v>112</v>
      </c>
      <c r="E84" t="s">
        <v>34</v>
      </c>
      <c r="F84" t="s">
        <v>49</v>
      </c>
      <c r="G84" t="s">
        <v>105</v>
      </c>
      <c r="H84" t="s">
        <v>26</v>
      </c>
      <c r="I84">
        <v>3</v>
      </c>
      <c r="J84">
        <v>2784.76</v>
      </c>
      <c r="K84">
        <v>0.1</v>
      </c>
      <c r="L84">
        <v>7518.85</v>
      </c>
      <c r="M84">
        <v>6828.35</v>
      </c>
      <c r="N84">
        <v>690.5</v>
      </c>
      <c r="O84" t="s">
        <v>38</v>
      </c>
      <c r="P84" t="s">
        <v>71</v>
      </c>
      <c r="Q84" t="s">
        <v>29</v>
      </c>
      <c r="R84" t="s">
        <v>30</v>
      </c>
      <c r="S84">
        <v>1</v>
      </c>
      <c r="T84" t="s">
        <v>31</v>
      </c>
      <c r="U84">
        <v>9.1835852557239472E-2</v>
      </c>
    </row>
    <row r="85" spans="1:21">
      <c r="A85">
        <v>841</v>
      </c>
      <c r="B85" s="1">
        <v>45686</v>
      </c>
      <c r="C85" t="s">
        <v>215</v>
      </c>
      <c r="D85" t="s">
        <v>216</v>
      </c>
      <c r="E85" t="s">
        <v>54</v>
      </c>
      <c r="F85" t="s">
        <v>127</v>
      </c>
      <c r="G85" t="s">
        <v>25</v>
      </c>
      <c r="H85" t="s">
        <v>26</v>
      </c>
      <c r="I85">
        <v>3</v>
      </c>
      <c r="J85">
        <v>17136.5</v>
      </c>
      <c r="K85">
        <v>0.02</v>
      </c>
      <c r="L85">
        <v>50381.31</v>
      </c>
      <c r="M85">
        <v>33316.97</v>
      </c>
      <c r="N85">
        <v>17064.34</v>
      </c>
      <c r="O85" t="s">
        <v>38</v>
      </c>
      <c r="P85" t="s">
        <v>78</v>
      </c>
      <c r="Q85" t="s">
        <v>40</v>
      </c>
      <c r="R85" t="s">
        <v>30</v>
      </c>
      <c r="S85">
        <v>1</v>
      </c>
      <c r="T85" t="s">
        <v>31</v>
      </c>
      <c r="U85">
        <v>0.33870377725390627</v>
      </c>
    </row>
    <row r="86" spans="1:21">
      <c r="A86">
        <v>336</v>
      </c>
      <c r="B86" s="1">
        <v>45687</v>
      </c>
      <c r="C86" t="s">
        <v>164</v>
      </c>
      <c r="D86" t="s">
        <v>217</v>
      </c>
      <c r="E86" t="s">
        <v>23</v>
      </c>
      <c r="F86" t="s">
        <v>24</v>
      </c>
      <c r="G86" t="s">
        <v>25</v>
      </c>
      <c r="H86" t="s">
        <v>26</v>
      </c>
      <c r="I86">
        <v>1</v>
      </c>
      <c r="J86">
        <v>20120.96</v>
      </c>
      <c r="K86">
        <v>0.05</v>
      </c>
      <c r="L86">
        <v>19114.91</v>
      </c>
      <c r="M86">
        <v>12871.01</v>
      </c>
      <c r="N86">
        <v>6243.9</v>
      </c>
      <c r="O86" t="s">
        <v>27</v>
      </c>
      <c r="P86" t="s">
        <v>39</v>
      </c>
      <c r="Q86" t="s">
        <v>40</v>
      </c>
      <c r="R86" t="s">
        <v>30</v>
      </c>
      <c r="S86">
        <v>1</v>
      </c>
      <c r="T86" t="s">
        <v>31</v>
      </c>
      <c r="U86">
        <v>0.32665076633894691</v>
      </c>
    </row>
    <row r="87" spans="1:21">
      <c r="A87">
        <v>941</v>
      </c>
      <c r="B87" s="1">
        <v>45687</v>
      </c>
      <c r="C87" t="s">
        <v>218</v>
      </c>
      <c r="D87" t="s">
        <v>219</v>
      </c>
      <c r="E87" t="s">
        <v>97</v>
      </c>
      <c r="F87" t="s">
        <v>104</v>
      </c>
      <c r="G87" t="s">
        <v>36</v>
      </c>
      <c r="H87" t="s">
        <v>37</v>
      </c>
      <c r="I87">
        <v>4</v>
      </c>
      <c r="J87">
        <v>8822.08</v>
      </c>
      <c r="K87">
        <v>0.1</v>
      </c>
      <c r="L87">
        <v>31759.49</v>
      </c>
      <c r="M87">
        <v>23863.31</v>
      </c>
      <c r="N87">
        <v>7896.18</v>
      </c>
      <c r="O87" t="s">
        <v>27</v>
      </c>
      <c r="P87" t="s">
        <v>39</v>
      </c>
      <c r="Q87" t="s">
        <v>46</v>
      </c>
      <c r="R87" t="s">
        <v>30</v>
      </c>
      <c r="S87">
        <v>1</v>
      </c>
      <c r="T87" t="s">
        <v>31</v>
      </c>
      <c r="U87">
        <v>0.2486242694703221</v>
      </c>
    </row>
    <row r="88" spans="1:21">
      <c r="A88">
        <v>193</v>
      </c>
      <c r="B88" s="1">
        <v>45687</v>
      </c>
      <c r="C88" t="s">
        <v>220</v>
      </c>
      <c r="D88" t="s">
        <v>221</v>
      </c>
      <c r="E88" t="s">
        <v>76</v>
      </c>
      <c r="F88" t="s">
        <v>113</v>
      </c>
      <c r="G88" t="s">
        <v>36</v>
      </c>
      <c r="H88" t="s">
        <v>37</v>
      </c>
      <c r="I88">
        <v>3</v>
      </c>
      <c r="J88">
        <v>11343.29</v>
      </c>
      <c r="K88">
        <v>0.05</v>
      </c>
      <c r="L88">
        <v>32328.38</v>
      </c>
      <c r="M88">
        <v>22439.57</v>
      </c>
      <c r="N88">
        <v>9888.81</v>
      </c>
      <c r="O88" t="s">
        <v>38</v>
      </c>
      <c r="P88" t="s">
        <v>28</v>
      </c>
      <c r="Q88" t="s">
        <v>29</v>
      </c>
      <c r="R88" t="s">
        <v>30</v>
      </c>
      <c r="S88">
        <v>1</v>
      </c>
      <c r="T88" t="s">
        <v>31</v>
      </c>
      <c r="U88">
        <v>0.30588634506275908</v>
      </c>
    </row>
    <row r="89" spans="1:21">
      <c r="A89">
        <v>263</v>
      </c>
      <c r="B89" s="1">
        <v>45688</v>
      </c>
      <c r="C89" t="s">
        <v>117</v>
      </c>
      <c r="D89" t="s">
        <v>222</v>
      </c>
      <c r="E89" t="s">
        <v>76</v>
      </c>
      <c r="F89" t="s">
        <v>113</v>
      </c>
      <c r="G89" t="s">
        <v>69</v>
      </c>
      <c r="H89" t="s">
        <v>70</v>
      </c>
      <c r="I89">
        <v>1</v>
      </c>
      <c r="J89">
        <v>1379.5</v>
      </c>
      <c r="K89">
        <v>0</v>
      </c>
      <c r="L89">
        <v>1379.5</v>
      </c>
      <c r="M89">
        <v>1127.74</v>
      </c>
      <c r="N89">
        <v>251.76</v>
      </c>
      <c r="O89" t="s">
        <v>27</v>
      </c>
      <c r="P89" t="s">
        <v>45</v>
      </c>
      <c r="Q89" t="s">
        <v>40</v>
      </c>
      <c r="R89" t="s">
        <v>30</v>
      </c>
      <c r="S89">
        <v>1</v>
      </c>
      <c r="T89" t="s">
        <v>31</v>
      </c>
      <c r="U89">
        <v>0.18250090612540776</v>
      </c>
    </row>
    <row r="90" spans="1:21">
      <c r="A90">
        <v>887</v>
      </c>
      <c r="B90" s="1">
        <v>45690</v>
      </c>
      <c r="C90" t="s">
        <v>74</v>
      </c>
      <c r="D90" t="s">
        <v>223</v>
      </c>
      <c r="E90" t="s">
        <v>34</v>
      </c>
      <c r="F90" t="s">
        <v>49</v>
      </c>
      <c r="G90" t="s">
        <v>66</v>
      </c>
      <c r="H90" t="s">
        <v>51</v>
      </c>
      <c r="I90">
        <v>1</v>
      </c>
      <c r="J90">
        <v>3065.62</v>
      </c>
      <c r="K90">
        <v>0.02</v>
      </c>
      <c r="L90">
        <v>3004.31</v>
      </c>
      <c r="M90">
        <v>2575.4499999999998</v>
      </c>
      <c r="N90">
        <v>428.86</v>
      </c>
      <c r="O90" t="s">
        <v>27</v>
      </c>
      <c r="P90" t="s">
        <v>28</v>
      </c>
      <c r="Q90" t="s">
        <v>29</v>
      </c>
      <c r="R90" t="s">
        <v>224</v>
      </c>
      <c r="S90">
        <v>2</v>
      </c>
      <c r="T90" t="s">
        <v>31</v>
      </c>
      <c r="U90">
        <v>0.14274825167842201</v>
      </c>
    </row>
    <row r="91" spans="1:21">
      <c r="A91">
        <v>878</v>
      </c>
      <c r="B91" s="1">
        <v>45691</v>
      </c>
      <c r="C91" t="s">
        <v>132</v>
      </c>
      <c r="D91" t="s">
        <v>139</v>
      </c>
      <c r="E91" t="s">
        <v>54</v>
      </c>
      <c r="F91" t="s">
        <v>55</v>
      </c>
      <c r="G91" t="s">
        <v>62</v>
      </c>
      <c r="H91" t="s">
        <v>63</v>
      </c>
      <c r="I91">
        <v>1</v>
      </c>
      <c r="J91">
        <v>240.82</v>
      </c>
      <c r="K91">
        <v>0.02</v>
      </c>
      <c r="L91">
        <v>236</v>
      </c>
      <c r="M91">
        <v>150.59</v>
      </c>
      <c r="N91">
        <v>85.41</v>
      </c>
      <c r="O91" t="s">
        <v>27</v>
      </c>
      <c r="P91" t="s">
        <v>45</v>
      </c>
      <c r="Q91" t="s">
        <v>46</v>
      </c>
      <c r="R91" t="s">
        <v>224</v>
      </c>
      <c r="S91">
        <v>2</v>
      </c>
      <c r="T91" t="s">
        <v>31</v>
      </c>
      <c r="U91">
        <v>0.36190677966101692</v>
      </c>
    </row>
    <row r="92" spans="1:21">
      <c r="A92">
        <v>691</v>
      </c>
      <c r="B92" s="1">
        <v>45691</v>
      </c>
      <c r="C92" t="s">
        <v>225</v>
      </c>
      <c r="D92" t="s">
        <v>226</v>
      </c>
      <c r="E92" t="s">
        <v>76</v>
      </c>
      <c r="F92" t="s">
        <v>113</v>
      </c>
      <c r="G92" t="s">
        <v>99</v>
      </c>
      <c r="H92" t="s">
        <v>26</v>
      </c>
      <c r="I92">
        <v>2</v>
      </c>
      <c r="J92">
        <v>14762.65</v>
      </c>
      <c r="K92">
        <v>0.02</v>
      </c>
      <c r="L92">
        <v>28934.79</v>
      </c>
      <c r="M92">
        <v>24280.67</v>
      </c>
      <c r="N92">
        <v>4654.12</v>
      </c>
      <c r="O92" t="s">
        <v>27</v>
      </c>
      <c r="P92" t="s">
        <v>71</v>
      </c>
      <c r="Q92" t="s">
        <v>40</v>
      </c>
      <c r="R92" t="s">
        <v>224</v>
      </c>
      <c r="S92">
        <v>2</v>
      </c>
      <c r="T92" t="s">
        <v>31</v>
      </c>
      <c r="U92">
        <v>0.16084858400562091</v>
      </c>
    </row>
    <row r="93" spans="1:21">
      <c r="A93">
        <v>5</v>
      </c>
      <c r="B93" s="1">
        <v>45692</v>
      </c>
      <c r="C93" t="s">
        <v>227</v>
      </c>
      <c r="D93" t="s">
        <v>228</v>
      </c>
      <c r="E93" t="s">
        <v>76</v>
      </c>
      <c r="F93" t="s">
        <v>77</v>
      </c>
      <c r="G93" t="s">
        <v>99</v>
      </c>
      <c r="H93" t="s">
        <v>26</v>
      </c>
      <c r="I93">
        <v>2</v>
      </c>
      <c r="J93">
        <v>14061.53</v>
      </c>
      <c r="K93">
        <v>0.1</v>
      </c>
      <c r="L93">
        <v>25310.75</v>
      </c>
      <c r="M93">
        <v>21057.03</v>
      </c>
      <c r="N93">
        <v>4253.72</v>
      </c>
      <c r="O93" t="s">
        <v>27</v>
      </c>
      <c r="P93" t="s">
        <v>45</v>
      </c>
      <c r="Q93" t="s">
        <v>40</v>
      </c>
      <c r="R93" t="s">
        <v>224</v>
      </c>
      <c r="S93">
        <v>2</v>
      </c>
      <c r="T93" t="s">
        <v>31</v>
      </c>
      <c r="U93">
        <v>0.16805981648113943</v>
      </c>
    </row>
    <row r="94" spans="1:21">
      <c r="A94">
        <v>75</v>
      </c>
      <c r="B94" s="1">
        <v>45692</v>
      </c>
      <c r="C94" t="s">
        <v>229</v>
      </c>
      <c r="D94" t="s">
        <v>182</v>
      </c>
      <c r="E94" t="s">
        <v>54</v>
      </c>
      <c r="F94" t="s">
        <v>108</v>
      </c>
      <c r="G94" t="s">
        <v>69</v>
      </c>
      <c r="H94" t="s">
        <v>70</v>
      </c>
      <c r="I94">
        <v>1</v>
      </c>
      <c r="J94">
        <v>2773.34</v>
      </c>
      <c r="K94">
        <v>0.02</v>
      </c>
      <c r="L94">
        <v>2717.87</v>
      </c>
      <c r="M94">
        <v>1850.15</v>
      </c>
      <c r="N94">
        <v>867.72</v>
      </c>
      <c r="O94" t="s">
        <v>27</v>
      </c>
      <c r="P94" t="s">
        <v>78</v>
      </c>
      <c r="Q94" t="s">
        <v>29</v>
      </c>
      <c r="R94" t="s">
        <v>224</v>
      </c>
      <c r="S94">
        <v>2</v>
      </c>
      <c r="T94" t="s">
        <v>31</v>
      </c>
      <c r="U94">
        <v>0.31926471832721948</v>
      </c>
    </row>
    <row r="95" spans="1:21">
      <c r="A95">
        <v>204</v>
      </c>
      <c r="B95" s="1">
        <v>45693</v>
      </c>
      <c r="C95" t="s">
        <v>189</v>
      </c>
      <c r="D95" t="s">
        <v>230</v>
      </c>
      <c r="E95" t="s">
        <v>97</v>
      </c>
      <c r="F95" t="s">
        <v>148</v>
      </c>
      <c r="G95" t="s">
        <v>62</v>
      </c>
      <c r="H95" t="s">
        <v>63</v>
      </c>
      <c r="I95">
        <v>1</v>
      </c>
      <c r="J95">
        <v>122.03</v>
      </c>
      <c r="K95">
        <v>0.1</v>
      </c>
      <c r="L95">
        <v>109.83</v>
      </c>
      <c r="M95">
        <v>96.5</v>
      </c>
      <c r="N95">
        <v>13.33</v>
      </c>
      <c r="O95" t="s">
        <v>27</v>
      </c>
      <c r="P95" t="s">
        <v>78</v>
      </c>
      <c r="Q95" t="s">
        <v>46</v>
      </c>
      <c r="R95" t="s">
        <v>224</v>
      </c>
      <c r="S95">
        <v>2</v>
      </c>
      <c r="T95" t="s">
        <v>31</v>
      </c>
      <c r="U95">
        <v>0.12136938905581353</v>
      </c>
    </row>
    <row r="96" spans="1:21">
      <c r="A96">
        <v>786</v>
      </c>
      <c r="B96" s="1">
        <v>45695</v>
      </c>
      <c r="C96" t="s">
        <v>231</v>
      </c>
      <c r="D96" t="s">
        <v>232</v>
      </c>
      <c r="E96" t="s">
        <v>54</v>
      </c>
      <c r="F96" t="s">
        <v>55</v>
      </c>
      <c r="G96" t="s">
        <v>44</v>
      </c>
      <c r="H96" t="s">
        <v>26</v>
      </c>
      <c r="I96">
        <v>3</v>
      </c>
      <c r="J96">
        <v>55106.98</v>
      </c>
      <c r="K96">
        <v>0.15</v>
      </c>
      <c r="L96">
        <v>140522.79999999999</v>
      </c>
      <c r="M96">
        <v>142402.04999999999</v>
      </c>
      <c r="N96">
        <v>-1879.25</v>
      </c>
      <c r="O96" t="s">
        <v>38</v>
      </c>
      <c r="P96" t="s">
        <v>28</v>
      </c>
      <c r="Q96" t="s">
        <v>46</v>
      </c>
      <c r="R96" t="s">
        <v>224</v>
      </c>
      <c r="S96">
        <v>2</v>
      </c>
      <c r="T96" t="s">
        <v>31</v>
      </c>
      <c r="U96">
        <v>-1.3373274657208653E-2</v>
      </c>
    </row>
    <row r="97" spans="1:21">
      <c r="A97">
        <v>809</v>
      </c>
      <c r="B97" s="1">
        <v>45695</v>
      </c>
      <c r="C97" t="s">
        <v>233</v>
      </c>
      <c r="D97" t="s">
        <v>234</v>
      </c>
      <c r="E97" t="s">
        <v>23</v>
      </c>
      <c r="F97" t="s">
        <v>58</v>
      </c>
      <c r="G97" t="s">
        <v>134</v>
      </c>
      <c r="H97" t="s">
        <v>26</v>
      </c>
      <c r="I97">
        <v>4</v>
      </c>
      <c r="J97">
        <v>53157.81</v>
      </c>
      <c r="K97">
        <v>0.02</v>
      </c>
      <c r="L97">
        <v>208378.62</v>
      </c>
      <c r="M97">
        <v>165168.46</v>
      </c>
      <c r="N97">
        <v>43210.16</v>
      </c>
      <c r="O97" t="s">
        <v>27</v>
      </c>
      <c r="P97" t="s">
        <v>45</v>
      </c>
      <c r="Q97" t="s">
        <v>46</v>
      </c>
      <c r="R97" t="s">
        <v>224</v>
      </c>
      <c r="S97">
        <v>2</v>
      </c>
      <c r="T97" t="s">
        <v>31</v>
      </c>
      <c r="U97">
        <v>0.20736369211006389</v>
      </c>
    </row>
    <row r="98" spans="1:21">
      <c r="A98">
        <v>79</v>
      </c>
      <c r="B98" s="1">
        <v>45695</v>
      </c>
      <c r="C98" t="s">
        <v>235</v>
      </c>
      <c r="D98" t="s">
        <v>236</v>
      </c>
      <c r="E98" t="s">
        <v>54</v>
      </c>
      <c r="F98" t="s">
        <v>55</v>
      </c>
      <c r="G98" t="s">
        <v>44</v>
      </c>
      <c r="H98" t="s">
        <v>26</v>
      </c>
      <c r="I98">
        <v>4</v>
      </c>
      <c r="J98">
        <v>65669.22</v>
      </c>
      <c r="K98">
        <v>0.05</v>
      </c>
      <c r="L98">
        <v>249543.04000000001</v>
      </c>
      <c r="M98">
        <v>216717.69</v>
      </c>
      <c r="N98">
        <v>32825.35</v>
      </c>
      <c r="O98" t="s">
        <v>27</v>
      </c>
      <c r="P98" t="s">
        <v>78</v>
      </c>
      <c r="Q98" t="s">
        <v>40</v>
      </c>
      <c r="R98" t="s">
        <v>224</v>
      </c>
      <c r="S98">
        <v>2</v>
      </c>
      <c r="T98" t="s">
        <v>31</v>
      </c>
      <c r="U98">
        <v>0.13154183743213194</v>
      </c>
    </row>
    <row r="99" spans="1:21">
      <c r="A99">
        <v>734</v>
      </c>
      <c r="B99" s="1">
        <v>45695</v>
      </c>
      <c r="C99" t="s">
        <v>237</v>
      </c>
      <c r="D99" t="s">
        <v>238</v>
      </c>
      <c r="E99" t="s">
        <v>54</v>
      </c>
      <c r="F99" t="s">
        <v>108</v>
      </c>
      <c r="G99" t="s">
        <v>59</v>
      </c>
      <c r="H99" t="s">
        <v>37</v>
      </c>
      <c r="I99">
        <v>1</v>
      </c>
      <c r="J99">
        <v>10932.12</v>
      </c>
      <c r="K99">
        <v>0.15</v>
      </c>
      <c r="L99">
        <v>9292.2999999999993</v>
      </c>
      <c r="M99">
        <v>8224.99</v>
      </c>
      <c r="N99">
        <v>1067.31</v>
      </c>
      <c r="O99" t="s">
        <v>38</v>
      </c>
      <c r="P99" t="s">
        <v>71</v>
      </c>
      <c r="Q99" t="s">
        <v>29</v>
      </c>
      <c r="R99" t="s">
        <v>224</v>
      </c>
      <c r="S99">
        <v>2</v>
      </c>
      <c r="T99" t="s">
        <v>31</v>
      </c>
      <c r="U99">
        <v>0.11485961495001237</v>
      </c>
    </row>
    <row r="100" spans="1:21">
      <c r="A100">
        <v>741</v>
      </c>
      <c r="B100" s="1">
        <v>45695</v>
      </c>
      <c r="C100" t="s">
        <v>239</v>
      </c>
      <c r="D100" t="s">
        <v>159</v>
      </c>
      <c r="E100" t="s">
        <v>34</v>
      </c>
      <c r="F100" t="s">
        <v>86</v>
      </c>
      <c r="G100" t="s">
        <v>69</v>
      </c>
      <c r="H100" t="s">
        <v>70</v>
      </c>
      <c r="I100">
        <v>1</v>
      </c>
      <c r="J100">
        <v>1055.3</v>
      </c>
      <c r="K100">
        <v>0</v>
      </c>
      <c r="L100">
        <v>1055.3</v>
      </c>
      <c r="M100">
        <v>820.56</v>
      </c>
      <c r="N100">
        <v>234.74</v>
      </c>
      <c r="O100" t="s">
        <v>27</v>
      </c>
      <c r="P100" t="s">
        <v>28</v>
      </c>
      <c r="Q100" t="s">
        <v>29</v>
      </c>
      <c r="R100" t="s">
        <v>224</v>
      </c>
      <c r="S100">
        <v>2</v>
      </c>
      <c r="T100" t="s">
        <v>31</v>
      </c>
      <c r="U100">
        <v>0.22243911683881362</v>
      </c>
    </row>
    <row r="101" spans="1:21">
      <c r="A101">
        <v>74</v>
      </c>
      <c r="B101" s="1">
        <v>45695</v>
      </c>
      <c r="C101" t="s">
        <v>240</v>
      </c>
      <c r="D101" t="s">
        <v>241</v>
      </c>
      <c r="E101" t="s">
        <v>34</v>
      </c>
      <c r="F101" t="s">
        <v>86</v>
      </c>
      <c r="G101" t="s">
        <v>69</v>
      </c>
      <c r="H101" t="s">
        <v>70</v>
      </c>
      <c r="I101">
        <v>1</v>
      </c>
      <c r="J101">
        <v>807.32</v>
      </c>
      <c r="K101">
        <v>0.05</v>
      </c>
      <c r="L101">
        <v>766.95</v>
      </c>
      <c r="M101">
        <v>599.86</v>
      </c>
      <c r="N101">
        <v>167.09</v>
      </c>
      <c r="O101" t="s">
        <v>38</v>
      </c>
      <c r="P101" t="s">
        <v>71</v>
      </c>
      <c r="Q101" t="s">
        <v>40</v>
      </c>
      <c r="R101" t="s">
        <v>224</v>
      </c>
      <c r="S101">
        <v>2</v>
      </c>
      <c r="T101" t="s">
        <v>31</v>
      </c>
      <c r="U101">
        <v>0.21786296368733293</v>
      </c>
    </row>
    <row r="102" spans="1:21">
      <c r="A102">
        <v>148</v>
      </c>
      <c r="B102" s="1">
        <v>45696</v>
      </c>
      <c r="C102" t="s">
        <v>168</v>
      </c>
      <c r="D102" t="s">
        <v>242</v>
      </c>
      <c r="E102" t="s">
        <v>34</v>
      </c>
      <c r="F102" t="s">
        <v>35</v>
      </c>
      <c r="G102" t="s">
        <v>50</v>
      </c>
      <c r="H102" t="s">
        <v>51</v>
      </c>
      <c r="I102">
        <v>1</v>
      </c>
      <c r="J102">
        <v>320.86</v>
      </c>
      <c r="K102">
        <v>0.02</v>
      </c>
      <c r="L102">
        <v>314.44</v>
      </c>
      <c r="M102">
        <v>280.11</v>
      </c>
      <c r="N102">
        <v>34.33</v>
      </c>
      <c r="O102" t="s">
        <v>38</v>
      </c>
      <c r="P102" t="s">
        <v>39</v>
      </c>
      <c r="Q102" t="s">
        <v>40</v>
      </c>
      <c r="R102" t="s">
        <v>224</v>
      </c>
      <c r="S102">
        <v>2</v>
      </c>
      <c r="T102" t="s">
        <v>31</v>
      </c>
      <c r="U102">
        <v>0.1091782216003053</v>
      </c>
    </row>
    <row r="103" spans="1:21">
      <c r="A103">
        <v>437</v>
      </c>
      <c r="B103" s="1">
        <v>45696</v>
      </c>
      <c r="C103" t="s">
        <v>173</v>
      </c>
      <c r="D103" t="s">
        <v>243</v>
      </c>
      <c r="E103" t="s">
        <v>54</v>
      </c>
      <c r="F103" t="s">
        <v>127</v>
      </c>
      <c r="G103" t="s">
        <v>105</v>
      </c>
      <c r="H103" t="s">
        <v>26</v>
      </c>
      <c r="I103">
        <v>1</v>
      </c>
      <c r="J103">
        <v>2229.83</v>
      </c>
      <c r="K103">
        <v>0.1</v>
      </c>
      <c r="L103">
        <v>2006.85</v>
      </c>
      <c r="M103">
        <v>1738.7</v>
      </c>
      <c r="N103">
        <v>268.14999999999998</v>
      </c>
      <c r="O103" t="s">
        <v>27</v>
      </c>
      <c r="P103" t="s">
        <v>39</v>
      </c>
      <c r="Q103" t="s">
        <v>40</v>
      </c>
      <c r="R103" t="s">
        <v>224</v>
      </c>
      <c r="S103">
        <v>2</v>
      </c>
      <c r="T103" t="s">
        <v>31</v>
      </c>
      <c r="U103">
        <v>0.13361736054014997</v>
      </c>
    </row>
    <row r="104" spans="1:21">
      <c r="A104">
        <v>70</v>
      </c>
      <c r="B104" s="1">
        <v>45697</v>
      </c>
      <c r="C104" t="s">
        <v>244</v>
      </c>
      <c r="D104" t="s">
        <v>130</v>
      </c>
      <c r="E104" t="s">
        <v>23</v>
      </c>
      <c r="F104" t="s">
        <v>24</v>
      </c>
      <c r="G104" t="s">
        <v>36</v>
      </c>
      <c r="H104" t="s">
        <v>37</v>
      </c>
      <c r="I104">
        <v>4</v>
      </c>
      <c r="J104">
        <v>14761.19</v>
      </c>
      <c r="K104">
        <v>0.05</v>
      </c>
      <c r="L104">
        <v>56092.52</v>
      </c>
      <c r="M104">
        <v>44659.86</v>
      </c>
      <c r="N104">
        <v>11432.66</v>
      </c>
      <c r="O104" t="s">
        <v>27</v>
      </c>
      <c r="P104" t="s">
        <v>45</v>
      </c>
      <c r="Q104" t="s">
        <v>46</v>
      </c>
      <c r="R104" t="s">
        <v>224</v>
      </c>
      <c r="S104">
        <v>2</v>
      </c>
      <c r="T104" t="s">
        <v>31</v>
      </c>
      <c r="U104">
        <v>0.20381790655866416</v>
      </c>
    </row>
    <row r="105" spans="1:21">
      <c r="A105">
        <v>975</v>
      </c>
      <c r="B105" s="1">
        <v>45697</v>
      </c>
      <c r="C105" t="s">
        <v>193</v>
      </c>
      <c r="D105" t="s">
        <v>245</v>
      </c>
      <c r="E105" t="s">
        <v>34</v>
      </c>
      <c r="F105" t="s">
        <v>49</v>
      </c>
      <c r="G105" t="s">
        <v>62</v>
      </c>
      <c r="H105" t="s">
        <v>63</v>
      </c>
      <c r="I105">
        <v>3</v>
      </c>
      <c r="J105">
        <v>137.81</v>
      </c>
      <c r="K105">
        <v>0.1</v>
      </c>
      <c r="L105">
        <v>372.09</v>
      </c>
      <c r="M105">
        <v>294.55</v>
      </c>
      <c r="N105">
        <v>77.540000000000006</v>
      </c>
      <c r="O105" t="s">
        <v>27</v>
      </c>
      <c r="P105" t="s">
        <v>45</v>
      </c>
      <c r="Q105" t="s">
        <v>29</v>
      </c>
      <c r="R105" t="s">
        <v>224</v>
      </c>
      <c r="S105">
        <v>2</v>
      </c>
      <c r="T105" t="s">
        <v>31</v>
      </c>
      <c r="U105">
        <v>0.20839044317235081</v>
      </c>
    </row>
    <row r="106" spans="1:21">
      <c r="A106">
        <v>294</v>
      </c>
      <c r="B106" s="1">
        <v>45698</v>
      </c>
      <c r="C106" t="s">
        <v>246</v>
      </c>
      <c r="D106" t="s">
        <v>247</v>
      </c>
      <c r="E106" t="s">
        <v>54</v>
      </c>
      <c r="F106" t="s">
        <v>55</v>
      </c>
      <c r="G106" t="s">
        <v>66</v>
      </c>
      <c r="H106" t="s">
        <v>51</v>
      </c>
      <c r="I106">
        <v>1</v>
      </c>
      <c r="J106">
        <v>3211.11</v>
      </c>
      <c r="K106">
        <v>0.1</v>
      </c>
      <c r="L106">
        <v>2890</v>
      </c>
      <c r="M106">
        <v>2161.59</v>
      </c>
      <c r="N106">
        <v>728.41</v>
      </c>
      <c r="O106" t="s">
        <v>38</v>
      </c>
      <c r="P106" t="s">
        <v>78</v>
      </c>
      <c r="Q106" t="s">
        <v>40</v>
      </c>
      <c r="R106" t="s">
        <v>224</v>
      </c>
      <c r="S106">
        <v>2</v>
      </c>
      <c r="T106" t="s">
        <v>31</v>
      </c>
      <c r="U106">
        <v>0.25204498269896192</v>
      </c>
    </row>
    <row r="107" spans="1:21">
      <c r="A107">
        <v>496</v>
      </c>
      <c r="B107" s="1">
        <v>45698</v>
      </c>
      <c r="C107" t="s">
        <v>190</v>
      </c>
      <c r="D107" t="s">
        <v>248</v>
      </c>
      <c r="E107" t="s">
        <v>34</v>
      </c>
      <c r="F107" t="s">
        <v>86</v>
      </c>
      <c r="G107" t="s">
        <v>50</v>
      </c>
      <c r="H107" t="s">
        <v>51</v>
      </c>
      <c r="I107">
        <v>2</v>
      </c>
      <c r="J107">
        <v>366.89</v>
      </c>
      <c r="K107">
        <v>0.05</v>
      </c>
      <c r="L107">
        <v>697.09</v>
      </c>
      <c r="M107">
        <v>471.56</v>
      </c>
      <c r="N107">
        <v>225.53</v>
      </c>
      <c r="O107" t="s">
        <v>38</v>
      </c>
      <c r="P107" t="s">
        <v>71</v>
      </c>
      <c r="Q107" t="s">
        <v>29</v>
      </c>
      <c r="R107" t="s">
        <v>224</v>
      </c>
      <c r="S107">
        <v>2</v>
      </c>
      <c r="T107" t="s">
        <v>31</v>
      </c>
      <c r="U107">
        <v>0.32353067753087833</v>
      </c>
    </row>
    <row r="108" spans="1:21">
      <c r="A108">
        <v>7</v>
      </c>
      <c r="B108" s="1">
        <v>45698</v>
      </c>
      <c r="C108" t="s">
        <v>249</v>
      </c>
      <c r="D108" t="s">
        <v>250</v>
      </c>
      <c r="E108" t="s">
        <v>76</v>
      </c>
      <c r="F108" t="s">
        <v>113</v>
      </c>
      <c r="G108" t="s">
        <v>134</v>
      </c>
      <c r="H108" t="s">
        <v>26</v>
      </c>
      <c r="I108">
        <v>1</v>
      </c>
      <c r="J108">
        <v>37968.61</v>
      </c>
      <c r="K108">
        <v>0</v>
      </c>
      <c r="L108">
        <v>37968.61</v>
      </c>
      <c r="M108">
        <v>26313.88</v>
      </c>
      <c r="N108">
        <v>11654.73</v>
      </c>
      <c r="O108" t="s">
        <v>38</v>
      </c>
      <c r="P108" t="s">
        <v>28</v>
      </c>
      <c r="Q108" t="s">
        <v>29</v>
      </c>
      <c r="R108" t="s">
        <v>224</v>
      </c>
      <c r="S108">
        <v>2</v>
      </c>
      <c r="T108" t="s">
        <v>31</v>
      </c>
      <c r="U108">
        <v>0.30695698367677932</v>
      </c>
    </row>
    <row r="109" spans="1:21">
      <c r="A109">
        <v>779</v>
      </c>
      <c r="B109" s="1">
        <v>45698</v>
      </c>
      <c r="C109" t="s">
        <v>251</v>
      </c>
      <c r="D109" t="s">
        <v>53</v>
      </c>
      <c r="E109" t="s">
        <v>23</v>
      </c>
      <c r="F109" t="s">
        <v>58</v>
      </c>
      <c r="G109" t="s">
        <v>44</v>
      </c>
      <c r="H109" t="s">
        <v>26</v>
      </c>
      <c r="I109">
        <v>2</v>
      </c>
      <c r="J109">
        <v>58797.05</v>
      </c>
      <c r="K109">
        <v>0.15</v>
      </c>
      <c r="L109">
        <v>99954.99</v>
      </c>
      <c r="M109">
        <v>94961.32</v>
      </c>
      <c r="N109">
        <v>4993.67</v>
      </c>
      <c r="O109" t="s">
        <v>38</v>
      </c>
      <c r="P109" t="s">
        <v>71</v>
      </c>
      <c r="Q109" t="s">
        <v>29</v>
      </c>
      <c r="R109" t="s">
        <v>224</v>
      </c>
      <c r="S109">
        <v>2</v>
      </c>
      <c r="T109" t="s">
        <v>31</v>
      </c>
      <c r="U109">
        <v>4.9959186629902119E-2</v>
      </c>
    </row>
    <row r="110" spans="1:21">
      <c r="A110">
        <v>498</v>
      </c>
      <c r="B110" s="1">
        <v>45699</v>
      </c>
      <c r="C110" t="s">
        <v>252</v>
      </c>
      <c r="D110" t="s">
        <v>253</v>
      </c>
      <c r="E110" t="s">
        <v>76</v>
      </c>
      <c r="F110" t="s">
        <v>77</v>
      </c>
      <c r="G110" t="s">
        <v>59</v>
      </c>
      <c r="H110" t="s">
        <v>37</v>
      </c>
      <c r="I110">
        <v>1</v>
      </c>
      <c r="J110">
        <v>8670.7800000000007</v>
      </c>
      <c r="K110">
        <v>0.15</v>
      </c>
      <c r="L110">
        <v>7370.16</v>
      </c>
      <c r="M110">
        <v>7352.12</v>
      </c>
      <c r="N110">
        <v>18.04</v>
      </c>
      <c r="O110" t="s">
        <v>38</v>
      </c>
      <c r="P110" t="s">
        <v>45</v>
      </c>
      <c r="Q110" t="s">
        <v>29</v>
      </c>
      <c r="R110" t="s">
        <v>224</v>
      </c>
      <c r="S110">
        <v>2</v>
      </c>
      <c r="T110" t="s">
        <v>31</v>
      </c>
      <c r="U110">
        <v>2.4477080551846908E-3</v>
      </c>
    </row>
    <row r="111" spans="1:21">
      <c r="A111">
        <v>182</v>
      </c>
      <c r="B111" s="1">
        <v>45699</v>
      </c>
      <c r="C111" t="s">
        <v>254</v>
      </c>
      <c r="D111" t="s">
        <v>255</v>
      </c>
      <c r="E111" t="s">
        <v>54</v>
      </c>
      <c r="F111" t="s">
        <v>108</v>
      </c>
      <c r="G111" t="s">
        <v>36</v>
      </c>
      <c r="H111" t="s">
        <v>37</v>
      </c>
      <c r="I111">
        <v>2</v>
      </c>
      <c r="J111">
        <v>13728.23</v>
      </c>
      <c r="K111">
        <v>0.1</v>
      </c>
      <c r="L111">
        <v>24710.81</v>
      </c>
      <c r="M111">
        <v>23159.17</v>
      </c>
      <c r="N111">
        <v>1551.64</v>
      </c>
      <c r="O111" t="s">
        <v>38</v>
      </c>
      <c r="P111" t="s">
        <v>28</v>
      </c>
      <c r="Q111" t="s">
        <v>29</v>
      </c>
      <c r="R111" t="s">
        <v>224</v>
      </c>
      <c r="S111">
        <v>2</v>
      </c>
      <c r="T111" t="s">
        <v>31</v>
      </c>
      <c r="U111">
        <v>6.279195218610803E-2</v>
      </c>
    </row>
    <row r="112" spans="1:21">
      <c r="A112">
        <v>884</v>
      </c>
      <c r="B112" s="1">
        <v>45700</v>
      </c>
      <c r="C112" t="s">
        <v>256</v>
      </c>
      <c r="D112" t="s">
        <v>257</v>
      </c>
      <c r="E112" t="s">
        <v>54</v>
      </c>
      <c r="F112" t="s">
        <v>127</v>
      </c>
      <c r="G112" t="s">
        <v>62</v>
      </c>
      <c r="H112" t="s">
        <v>63</v>
      </c>
      <c r="I112">
        <v>4</v>
      </c>
      <c r="J112">
        <v>207.63</v>
      </c>
      <c r="K112">
        <v>0.1</v>
      </c>
      <c r="L112">
        <v>747.47</v>
      </c>
      <c r="M112">
        <v>730.62</v>
      </c>
      <c r="N112">
        <v>16.850000000000001</v>
      </c>
      <c r="O112" t="s">
        <v>27</v>
      </c>
      <c r="P112" t="s">
        <v>71</v>
      </c>
      <c r="Q112" t="s">
        <v>46</v>
      </c>
      <c r="R112" t="s">
        <v>224</v>
      </c>
      <c r="S112">
        <v>2</v>
      </c>
      <c r="T112" t="s">
        <v>31</v>
      </c>
      <c r="U112">
        <v>2.2542710744243917E-2</v>
      </c>
    </row>
    <row r="113" spans="1:21">
      <c r="A113">
        <v>695</v>
      </c>
      <c r="B113" s="1">
        <v>45700</v>
      </c>
      <c r="C113" t="s">
        <v>258</v>
      </c>
      <c r="D113" t="s">
        <v>259</v>
      </c>
      <c r="E113" t="s">
        <v>34</v>
      </c>
      <c r="F113" t="s">
        <v>86</v>
      </c>
      <c r="G113" t="s">
        <v>105</v>
      </c>
      <c r="H113" t="s">
        <v>26</v>
      </c>
      <c r="I113">
        <v>4</v>
      </c>
      <c r="J113">
        <v>6026.54</v>
      </c>
      <c r="K113">
        <v>0.1</v>
      </c>
      <c r="L113">
        <v>21695.54</v>
      </c>
      <c r="M113">
        <v>18207</v>
      </c>
      <c r="N113">
        <v>3488.54</v>
      </c>
      <c r="O113" t="s">
        <v>27</v>
      </c>
      <c r="P113" t="s">
        <v>45</v>
      </c>
      <c r="Q113" t="s">
        <v>40</v>
      </c>
      <c r="R113" t="s">
        <v>224</v>
      </c>
      <c r="S113">
        <v>2</v>
      </c>
      <c r="T113" t="s">
        <v>31</v>
      </c>
      <c r="U113">
        <v>0.16079526022399074</v>
      </c>
    </row>
    <row r="114" spans="1:21">
      <c r="A114">
        <v>304</v>
      </c>
      <c r="B114" s="1">
        <v>45700</v>
      </c>
      <c r="C114" t="s">
        <v>91</v>
      </c>
      <c r="D114" t="s">
        <v>236</v>
      </c>
      <c r="E114" t="s">
        <v>34</v>
      </c>
      <c r="F114" t="s">
        <v>35</v>
      </c>
      <c r="G114" t="s">
        <v>99</v>
      </c>
      <c r="H114" t="s">
        <v>26</v>
      </c>
      <c r="I114">
        <v>2</v>
      </c>
      <c r="J114">
        <v>25510.32</v>
      </c>
      <c r="K114">
        <v>0.02</v>
      </c>
      <c r="L114">
        <v>50000.23</v>
      </c>
      <c r="M114">
        <v>31845.86</v>
      </c>
      <c r="N114">
        <v>18154.37</v>
      </c>
      <c r="O114" t="s">
        <v>27</v>
      </c>
      <c r="P114" t="s">
        <v>45</v>
      </c>
      <c r="Q114" t="s">
        <v>29</v>
      </c>
      <c r="R114" t="s">
        <v>224</v>
      </c>
      <c r="S114">
        <v>2</v>
      </c>
      <c r="T114" t="s">
        <v>31</v>
      </c>
      <c r="U114">
        <v>0.36308572980564285</v>
      </c>
    </row>
    <row r="115" spans="1:21">
      <c r="A115">
        <v>394</v>
      </c>
      <c r="B115" s="1">
        <v>45702</v>
      </c>
      <c r="C115" t="s">
        <v>260</v>
      </c>
      <c r="D115" t="s">
        <v>261</v>
      </c>
      <c r="E115" t="s">
        <v>54</v>
      </c>
      <c r="F115" t="s">
        <v>127</v>
      </c>
      <c r="G115" t="s">
        <v>134</v>
      </c>
      <c r="H115" t="s">
        <v>26</v>
      </c>
      <c r="I115">
        <v>3</v>
      </c>
      <c r="J115">
        <v>38610.5</v>
      </c>
      <c r="K115">
        <v>0.05</v>
      </c>
      <c r="L115">
        <v>110039.92</v>
      </c>
      <c r="M115">
        <v>79716.3</v>
      </c>
      <c r="N115">
        <v>30323.62</v>
      </c>
      <c r="O115" t="s">
        <v>27</v>
      </c>
      <c r="P115" t="s">
        <v>78</v>
      </c>
      <c r="Q115" t="s">
        <v>46</v>
      </c>
      <c r="R115" t="s">
        <v>224</v>
      </c>
      <c r="S115">
        <v>2</v>
      </c>
      <c r="T115" t="s">
        <v>31</v>
      </c>
      <c r="U115">
        <v>0.27556926613541705</v>
      </c>
    </row>
    <row r="116" spans="1:21">
      <c r="A116">
        <v>12</v>
      </c>
      <c r="B116" s="1">
        <v>45702</v>
      </c>
      <c r="C116" t="s">
        <v>262</v>
      </c>
      <c r="D116" t="s">
        <v>118</v>
      </c>
      <c r="E116" t="s">
        <v>54</v>
      </c>
      <c r="F116" t="s">
        <v>127</v>
      </c>
      <c r="G116" t="s">
        <v>59</v>
      </c>
      <c r="H116" t="s">
        <v>37</v>
      </c>
      <c r="I116">
        <v>3</v>
      </c>
      <c r="J116">
        <v>8766.77</v>
      </c>
      <c r="K116">
        <v>0.1</v>
      </c>
      <c r="L116">
        <v>23670.28</v>
      </c>
      <c r="M116">
        <v>22663.54</v>
      </c>
      <c r="N116">
        <v>1006.74</v>
      </c>
      <c r="O116" t="s">
        <v>27</v>
      </c>
      <c r="P116" t="s">
        <v>78</v>
      </c>
      <c r="Q116" t="s">
        <v>40</v>
      </c>
      <c r="R116" t="s">
        <v>224</v>
      </c>
      <c r="S116">
        <v>2</v>
      </c>
      <c r="T116" t="s">
        <v>31</v>
      </c>
      <c r="U116">
        <v>4.2531816269178062E-2</v>
      </c>
    </row>
    <row r="117" spans="1:21">
      <c r="A117">
        <v>595</v>
      </c>
      <c r="B117" s="1">
        <v>45703</v>
      </c>
      <c r="C117" t="s">
        <v>74</v>
      </c>
      <c r="D117" t="s">
        <v>259</v>
      </c>
      <c r="E117" t="s">
        <v>23</v>
      </c>
      <c r="F117" t="s">
        <v>43</v>
      </c>
      <c r="G117" t="s">
        <v>134</v>
      </c>
      <c r="H117" t="s">
        <v>26</v>
      </c>
      <c r="I117">
        <v>2</v>
      </c>
      <c r="J117">
        <v>33443.17</v>
      </c>
      <c r="K117">
        <v>0.1</v>
      </c>
      <c r="L117">
        <v>60197.71</v>
      </c>
      <c r="M117">
        <v>43096.57</v>
      </c>
      <c r="N117">
        <v>17101.14</v>
      </c>
      <c r="O117" t="s">
        <v>38</v>
      </c>
      <c r="P117" t="s">
        <v>39</v>
      </c>
      <c r="Q117" t="s">
        <v>40</v>
      </c>
      <c r="R117" t="s">
        <v>224</v>
      </c>
      <c r="S117">
        <v>2</v>
      </c>
      <c r="T117" t="s">
        <v>31</v>
      </c>
      <c r="U117">
        <v>0.2840828994990009</v>
      </c>
    </row>
    <row r="118" spans="1:21">
      <c r="A118">
        <v>130</v>
      </c>
      <c r="B118" s="1">
        <v>45703</v>
      </c>
      <c r="C118" t="s">
        <v>263</v>
      </c>
      <c r="D118" t="s">
        <v>264</v>
      </c>
      <c r="E118" t="s">
        <v>23</v>
      </c>
      <c r="F118" t="s">
        <v>58</v>
      </c>
      <c r="G118" t="s">
        <v>62</v>
      </c>
      <c r="H118" t="s">
        <v>63</v>
      </c>
      <c r="I118">
        <v>2</v>
      </c>
      <c r="J118">
        <v>90.41</v>
      </c>
      <c r="K118">
        <v>0.02</v>
      </c>
      <c r="L118">
        <v>177.2</v>
      </c>
      <c r="M118">
        <v>141.1</v>
      </c>
      <c r="N118">
        <v>36.1</v>
      </c>
      <c r="O118" t="s">
        <v>27</v>
      </c>
      <c r="P118" t="s">
        <v>28</v>
      </c>
      <c r="Q118" t="s">
        <v>40</v>
      </c>
      <c r="R118" t="s">
        <v>224</v>
      </c>
      <c r="S118">
        <v>2</v>
      </c>
      <c r="T118" t="s">
        <v>31</v>
      </c>
      <c r="U118">
        <v>0.20372460496613998</v>
      </c>
    </row>
    <row r="119" spans="1:21">
      <c r="A119">
        <v>901</v>
      </c>
      <c r="B119" s="1">
        <v>45703</v>
      </c>
      <c r="C119" t="s">
        <v>265</v>
      </c>
      <c r="D119" t="s">
        <v>266</v>
      </c>
      <c r="E119" t="s">
        <v>76</v>
      </c>
      <c r="F119" t="s">
        <v>113</v>
      </c>
      <c r="G119" t="s">
        <v>145</v>
      </c>
      <c r="H119" t="s">
        <v>70</v>
      </c>
      <c r="I119">
        <v>1</v>
      </c>
      <c r="J119">
        <v>1344.3</v>
      </c>
      <c r="K119">
        <v>0</v>
      </c>
      <c r="L119">
        <v>1344.3</v>
      </c>
      <c r="M119">
        <v>1155.1199999999999</v>
      </c>
      <c r="N119">
        <v>189.18</v>
      </c>
      <c r="O119" t="s">
        <v>38</v>
      </c>
      <c r="P119" t="s">
        <v>78</v>
      </c>
      <c r="Q119" t="s">
        <v>40</v>
      </c>
      <c r="R119" t="s">
        <v>224</v>
      </c>
      <c r="S119">
        <v>2</v>
      </c>
      <c r="T119" t="s">
        <v>31</v>
      </c>
      <c r="U119">
        <v>0.14072751617942425</v>
      </c>
    </row>
    <row r="120" spans="1:21">
      <c r="A120">
        <v>224</v>
      </c>
      <c r="B120" s="1">
        <v>45703</v>
      </c>
      <c r="C120" t="s">
        <v>267</v>
      </c>
      <c r="D120" t="s">
        <v>268</v>
      </c>
      <c r="E120" t="s">
        <v>34</v>
      </c>
      <c r="F120" t="s">
        <v>35</v>
      </c>
      <c r="G120" t="s">
        <v>44</v>
      </c>
      <c r="H120" t="s">
        <v>26</v>
      </c>
      <c r="I120">
        <v>1</v>
      </c>
      <c r="J120">
        <v>72484.53</v>
      </c>
      <c r="K120">
        <v>0.05</v>
      </c>
      <c r="L120">
        <v>68860.3</v>
      </c>
      <c r="M120">
        <v>47032.11</v>
      </c>
      <c r="N120">
        <v>21828.19</v>
      </c>
      <c r="O120" t="s">
        <v>27</v>
      </c>
      <c r="P120" t="s">
        <v>71</v>
      </c>
      <c r="Q120" t="s">
        <v>40</v>
      </c>
      <c r="R120" t="s">
        <v>224</v>
      </c>
      <c r="S120">
        <v>2</v>
      </c>
      <c r="T120" t="s">
        <v>31</v>
      </c>
      <c r="U120">
        <v>0.31699237441602779</v>
      </c>
    </row>
    <row r="121" spans="1:21">
      <c r="A121">
        <v>499</v>
      </c>
      <c r="B121" s="1">
        <v>45704</v>
      </c>
      <c r="C121" t="s">
        <v>183</v>
      </c>
      <c r="D121" t="s">
        <v>221</v>
      </c>
      <c r="E121" t="s">
        <v>97</v>
      </c>
      <c r="F121" t="s">
        <v>148</v>
      </c>
      <c r="G121" t="s">
        <v>44</v>
      </c>
      <c r="H121" t="s">
        <v>26</v>
      </c>
      <c r="I121">
        <v>2</v>
      </c>
      <c r="J121">
        <v>57298.13</v>
      </c>
      <c r="K121">
        <v>0.02</v>
      </c>
      <c r="L121">
        <v>112304.33</v>
      </c>
      <c r="M121">
        <v>86007.03</v>
      </c>
      <c r="N121">
        <v>26297.3</v>
      </c>
      <c r="O121" t="s">
        <v>38</v>
      </c>
      <c r="P121" t="s">
        <v>71</v>
      </c>
      <c r="Q121" t="s">
        <v>46</v>
      </c>
      <c r="R121" t="s">
        <v>224</v>
      </c>
      <c r="S121">
        <v>2</v>
      </c>
      <c r="T121" t="s">
        <v>31</v>
      </c>
      <c r="U121">
        <v>0.23416105149284983</v>
      </c>
    </row>
    <row r="122" spans="1:21">
      <c r="A122">
        <v>72</v>
      </c>
      <c r="B122" s="1">
        <v>45704</v>
      </c>
      <c r="C122" t="s">
        <v>229</v>
      </c>
      <c r="D122" t="s">
        <v>219</v>
      </c>
      <c r="E122" t="s">
        <v>34</v>
      </c>
      <c r="F122" t="s">
        <v>49</v>
      </c>
      <c r="G122" t="s">
        <v>99</v>
      </c>
      <c r="H122" t="s">
        <v>26</v>
      </c>
      <c r="I122">
        <v>1</v>
      </c>
      <c r="J122">
        <v>17934.169999999998</v>
      </c>
      <c r="K122">
        <v>0.1</v>
      </c>
      <c r="L122">
        <v>16140.75</v>
      </c>
      <c r="M122">
        <v>12249.51</v>
      </c>
      <c r="N122">
        <v>3891.24</v>
      </c>
      <c r="O122" t="s">
        <v>27</v>
      </c>
      <c r="P122" t="s">
        <v>71</v>
      </c>
      <c r="Q122" t="s">
        <v>40</v>
      </c>
      <c r="R122" t="s">
        <v>224</v>
      </c>
      <c r="S122">
        <v>2</v>
      </c>
      <c r="T122" t="s">
        <v>31</v>
      </c>
      <c r="U122">
        <v>0.24108173412016168</v>
      </c>
    </row>
    <row r="123" spans="1:21">
      <c r="A123">
        <v>906</v>
      </c>
      <c r="B123" s="1">
        <v>45705</v>
      </c>
      <c r="C123" t="s">
        <v>91</v>
      </c>
      <c r="D123" t="s">
        <v>269</v>
      </c>
      <c r="E123" t="s">
        <v>54</v>
      </c>
      <c r="F123" t="s">
        <v>127</v>
      </c>
      <c r="G123" t="s">
        <v>134</v>
      </c>
      <c r="H123" t="s">
        <v>26</v>
      </c>
      <c r="I123">
        <v>1</v>
      </c>
      <c r="J123">
        <v>51765.62</v>
      </c>
      <c r="K123">
        <v>0.1</v>
      </c>
      <c r="L123">
        <v>46589.06</v>
      </c>
      <c r="M123">
        <v>42262.16</v>
      </c>
      <c r="N123">
        <v>4326.8999999999996</v>
      </c>
      <c r="O123" t="s">
        <v>38</v>
      </c>
      <c r="P123" t="s">
        <v>78</v>
      </c>
      <c r="Q123" t="s">
        <v>29</v>
      </c>
      <c r="R123" t="s">
        <v>224</v>
      </c>
      <c r="S123">
        <v>2</v>
      </c>
      <c r="T123" t="s">
        <v>31</v>
      </c>
      <c r="U123">
        <v>9.287373473515026E-2</v>
      </c>
    </row>
    <row r="124" spans="1:21">
      <c r="A124">
        <v>823</v>
      </c>
      <c r="B124" s="1">
        <v>45705</v>
      </c>
      <c r="C124" t="s">
        <v>235</v>
      </c>
      <c r="D124" t="s">
        <v>241</v>
      </c>
      <c r="E124" t="s">
        <v>23</v>
      </c>
      <c r="F124" t="s">
        <v>58</v>
      </c>
      <c r="G124" t="s">
        <v>62</v>
      </c>
      <c r="H124" t="s">
        <v>63</v>
      </c>
      <c r="I124">
        <v>2</v>
      </c>
      <c r="J124">
        <v>148.41999999999999</v>
      </c>
      <c r="K124">
        <v>0</v>
      </c>
      <c r="L124">
        <v>296.83999999999997</v>
      </c>
      <c r="M124">
        <v>236.76</v>
      </c>
      <c r="N124">
        <v>60.08</v>
      </c>
      <c r="O124" t="s">
        <v>27</v>
      </c>
      <c r="P124" t="s">
        <v>45</v>
      </c>
      <c r="Q124" t="s">
        <v>40</v>
      </c>
      <c r="R124" t="s">
        <v>224</v>
      </c>
      <c r="S124">
        <v>2</v>
      </c>
      <c r="T124" t="s">
        <v>31</v>
      </c>
      <c r="U124">
        <v>0.2023985985716211</v>
      </c>
    </row>
    <row r="125" spans="1:21">
      <c r="A125">
        <v>694</v>
      </c>
      <c r="B125" s="1">
        <v>45705</v>
      </c>
      <c r="C125" t="s">
        <v>270</v>
      </c>
      <c r="D125" t="s">
        <v>271</v>
      </c>
      <c r="E125" t="s">
        <v>23</v>
      </c>
      <c r="F125" t="s">
        <v>24</v>
      </c>
      <c r="G125" t="s">
        <v>69</v>
      </c>
      <c r="H125" t="s">
        <v>70</v>
      </c>
      <c r="I125">
        <v>4</v>
      </c>
      <c r="J125">
        <v>1069.3599999999999</v>
      </c>
      <c r="K125">
        <v>0</v>
      </c>
      <c r="L125">
        <v>4277.4399999999996</v>
      </c>
      <c r="M125">
        <v>3393.28</v>
      </c>
      <c r="N125">
        <v>884.16</v>
      </c>
      <c r="O125" t="s">
        <v>38</v>
      </c>
      <c r="P125" t="s">
        <v>78</v>
      </c>
      <c r="Q125" t="s">
        <v>40</v>
      </c>
      <c r="R125" t="s">
        <v>224</v>
      </c>
      <c r="S125">
        <v>2</v>
      </c>
      <c r="T125" t="s">
        <v>31</v>
      </c>
      <c r="U125">
        <v>0.20670307473629088</v>
      </c>
    </row>
    <row r="126" spans="1:21">
      <c r="A126">
        <v>683</v>
      </c>
      <c r="B126" s="1">
        <v>45705</v>
      </c>
      <c r="C126" t="s">
        <v>272</v>
      </c>
      <c r="D126" t="s">
        <v>176</v>
      </c>
      <c r="E126" t="s">
        <v>97</v>
      </c>
      <c r="F126" t="s">
        <v>148</v>
      </c>
      <c r="G126" t="s">
        <v>134</v>
      </c>
      <c r="H126" t="s">
        <v>26</v>
      </c>
      <c r="I126">
        <v>1</v>
      </c>
      <c r="J126">
        <v>48478.55</v>
      </c>
      <c r="K126">
        <v>0</v>
      </c>
      <c r="L126">
        <v>48478.55</v>
      </c>
      <c r="M126">
        <v>31997.32</v>
      </c>
      <c r="N126">
        <v>16481.23</v>
      </c>
      <c r="O126" t="s">
        <v>38</v>
      </c>
      <c r="P126" t="s">
        <v>71</v>
      </c>
      <c r="Q126" t="s">
        <v>29</v>
      </c>
      <c r="R126" t="s">
        <v>224</v>
      </c>
      <c r="S126">
        <v>2</v>
      </c>
      <c r="T126" t="s">
        <v>31</v>
      </c>
      <c r="U126">
        <v>0.3399695329171355</v>
      </c>
    </row>
    <row r="127" spans="1:21">
      <c r="A127">
        <v>187</v>
      </c>
      <c r="B127" s="1">
        <v>45706</v>
      </c>
      <c r="C127" t="s">
        <v>273</v>
      </c>
      <c r="D127" t="s">
        <v>274</v>
      </c>
      <c r="E127" t="s">
        <v>54</v>
      </c>
      <c r="F127" t="s">
        <v>127</v>
      </c>
      <c r="G127" t="s">
        <v>36</v>
      </c>
      <c r="H127" t="s">
        <v>37</v>
      </c>
      <c r="I127">
        <v>1</v>
      </c>
      <c r="J127">
        <v>13230.68</v>
      </c>
      <c r="K127">
        <v>0</v>
      </c>
      <c r="L127">
        <v>13230.68</v>
      </c>
      <c r="M127">
        <v>9516.89</v>
      </c>
      <c r="N127">
        <v>3713.79</v>
      </c>
      <c r="O127" t="s">
        <v>38</v>
      </c>
      <c r="P127" t="s">
        <v>28</v>
      </c>
      <c r="Q127" t="s">
        <v>29</v>
      </c>
      <c r="R127" t="s">
        <v>224</v>
      </c>
      <c r="S127">
        <v>2</v>
      </c>
      <c r="T127" t="s">
        <v>31</v>
      </c>
      <c r="U127">
        <v>0.28069532329404079</v>
      </c>
    </row>
    <row r="128" spans="1:21">
      <c r="A128">
        <v>538</v>
      </c>
      <c r="B128" s="1">
        <v>45706</v>
      </c>
      <c r="C128" t="s">
        <v>275</v>
      </c>
      <c r="D128" t="s">
        <v>276</v>
      </c>
      <c r="E128" t="s">
        <v>76</v>
      </c>
      <c r="F128" t="s">
        <v>113</v>
      </c>
      <c r="G128" t="s">
        <v>62</v>
      </c>
      <c r="H128" t="s">
        <v>63</v>
      </c>
      <c r="I128">
        <v>3</v>
      </c>
      <c r="J128">
        <v>387.65</v>
      </c>
      <c r="K128">
        <v>0.15</v>
      </c>
      <c r="L128">
        <v>988.51</v>
      </c>
      <c r="M128">
        <v>952.6</v>
      </c>
      <c r="N128">
        <v>35.909999999999997</v>
      </c>
      <c r="O128" t="s">
        <v>38</v>
      </c>
      <c r="P128" t="s">
        <v>45</v>
      </c>
      <c r="Q128" t="s">
        <v>29</v>
      </c>
      <c r="R128" t="s">
        <v>224</v>
      </c>
      <c r="S128">
        <v>2</v>
      </c>
      <c r="T128" t="s">
        <v>31</v>
      </c>
      <c r="U128">
        <v>3.6327401847224605E-2</v>
      </c>
    </row>
    <row r="129" spans="1:21">
      <c r="A129">
        <v>337</v>
      </c>
      <c r="B129" s="1">
        <v>45706</v>
      </c>
      <c r="C129" t="s">
        <v>277</v>
      </c>
      <c r="D129" t="s">
        <v>278</v>
      </c>
      <c r="E129" t="s">
        <v>54</v>
      </c>
      <c r="F129" t="s">
        <v>55</v>
      </c>
      <c r="G129" t="s">
        <v>25</v>
      </c>
      <c r="H129" t="s">
        <v>26</v>
      </c>
      <c r="I129">
        <v>4</v>
      </c>
      <c r="J129">
        <v>17889.3</v>
      </c>
      <c r="K129">
        <v>0.1</v>
      </c>
      <c r="L129">
        <v>64401.48</v>
      </c>
      <c r="M129">
        <v>54516.01</v>
      </c>
      <c r="N129">
        <v>9885.4699999999993</v>
      </c>
      <c r="O129" t="s">
        <v>27</v>
      </c>
      <c r="P129" t="s">
        <v>71</v>
      </c>
      <c r="Q129" t="s">
        <v>29</v>
      </c>
      <c r="R129" t="s">
        <v>224</v>
      </c>
      <c r="S129">
        <v>2</v>
      </c>
      <c r="T129" t="s">
        <v>31</v>
      </c>
      <c r="U129">
        <v>0.15349755937285911</v>
      </c>
    </row>
    <row r="130" spans="1:21">
      <c r="A130">
        <v>308</v>
      </c>
      <c r="B130" s="1">
        <v>45707</v>
      </c>
      <c r="C130" t="s">
        <v>279</v>
      </c>
      <c r="D130" t="s">
        <v>280</v>
      </c>
      <c r="E130" t="s">
        <v>97</v>
      </c>
      <c r="F130" t="s">
        <v>98</v>
      </c>
      <c r="G130" t="s">
        <v>25</v>
      </c>
      <c r="H130" t="s">
        <v>26</v>
      </c>
      <c r="I130">
        <v>2</v>
      </c>
      <c r="J130">
        <v>20047.75</v>
      </c>
      <c r="K130">
        <v>0.05</v>
      </c>
      <c r="L130">
        <v>38090.720000000001</v>
      </c>
      <c r="M130">
        <v>28568.94</v>
      </c>
      <c r="N130">
        <v>9521.7800000000007</v>
      </c>
      <c r="O130" t="s">
        <v>38</v>
      </c>
      <c r="P130" t="s">
        <v>39</v>
      </c>
      <c r="Q130" t="s">
        <v>40</v>
      </c>
      <c r="R130" t="s">
        <v>224</v>
      </c>
      <c r="S130">
        <v>2</v>
      </c>
      <c r="T130" t="s">
        <v>31</v>
      </c>
      <c r="U130">
        <v>0.24997637219774266</v>
      </c>
    </row>
    <row r="131" spans="1:21">
      <c r="A131">
        <v>301</v>
      </c>
      <c r="B131" s="1">
        <v>45708</v>
      </c>
      <c r="C131" t="s">
        <v>273</v>
      </c>
      <c r="D131" t="s">
        <v>228</v>
      </c>
      <c r="E131" t="s">
        <v>97</v>
      </c>
      <c r="F131" t="s">
        <v>104</v>
      </c>
      <c r="G131" t="s">
        <v>69</v>
      </c>
      <c r="H131" t="s">
        <v>70</v>
      </c>
      <c r="I131">
        <v>1</v>
      </c>
      <c r="J131">
        <v>2312.25</v>
      </c>
      <c r="K131">
        <v>0</v>
      </c>
      <c r="L131">
        <v>2312.25</v>
      </c>
      <c r="M131">
        <v>1859.53</v>
      </c>
      <c r="N131">
        <v>452.72</v>
      </c>
      <c r="O131" t="s">
        <v>38</v>
      </c>
      <c r="P131" t="s">
        <v>45</v>
      </c>
      <c r="Q131" t="s">
        <v>46</v>
      </c>
      <c r="R131" t="s">
        <v>224</v>
      </c>
      <c r="S131">
        <v>2</v>
      </c>
      <c r="T131" t="s">
        <v>31</v>
      </c>
      <c r="U131">
        <v>0.19579197751108229</v>
      </c>
    </row>
    <row r="132" spans="1:21">
      <c r="A132">
        <v>673</v>
      </c>
      <c r="B132" s="1">
        <v>45708</v>
      </c>
      <c r="C132" t="s">
        <v>281</v>
      </c>
      <c r="D132" t="s">
        <v>282</v>
      </c>
      <c r="E132" t="s">
        <v>97</v>
      </c>
      <c r="F132" t="s">
        <v>148</v>
      </c>
      <c r="G132" t="s">
        <v>134</v>
      </c>
      <c r="H132" t="s">
        <v>26</v>
      </c>
      <c r="I132">
        <v>1</v>
      </c>
      <c r="J132">
        <v>44954.28</v>
      </c>
      <c r="K132">
        <v>0.15</v>
      </c>
      <c r="L132">
        <v>38211.14</v>
      </c>
      <c r="M132">
        <v>32812.25</v>
      </c>
      <c r="N132">
        <v>5398.89</v>
      </c>
      <c r="O132" t="s">
        <v>27</v>
      </c>
      <c r="P132" t="s">
        <v>71</v>
      </c>
      <c r="Q132" t="s">
        <v>40</v>
      </c>
      <c r="R132" t="s">
        <v>224</v>
      </c>
      <c r="S132">
        <v>2</v>
      </c>
      <c r="T132" t="s">
        <v>31</v>
      </c>
      <c r="U132">
        <v>0.1412909952437954</v>
      </c>
    </row>
    <row r="133" spans="1:21">
      <c r="A133">
        <v>568</v>
      </c>
      <c r="B133" s="1">
        <v>45708</v>
      </c>
      <c r="C133" t="s">
        <v>67</v>
      </c>
      <c r="D133" t="s">
        <v>174</v>
      </c>
      <c r="E133" t="s">
        <v>54</v>
      </c>
      <c r="F133" t="s">
        <v>55</v>
      </c>
      <c r="G133" t="s">
        <v>44</v>
      </c>
      <c r="H133" t="s">
        <v>26</v>
      </c>
      <c r="I133">
        <v>3</v>
      </c>
      <c r="J133">
        <v>73236.37</v>
      </c>
      <c r="K133">
        <v>0.1</v>
      </c>
      <c r="L133">
        <v>197738.2</v>
      </c>
      <c r="M133">
        <v>138501.65</v>
      </c>
      <c r="N133">
        <v>59236.55</v>
      </c>
      <c r="O133" t="s">
        <v>27</v>
      </c>
      <c r="P133" t="s">
        <v>71</v>
      </c>
      <c r="Q133" t="s">
        <v>40</v>
      </c>
      <c r="R133" t="s">
        <v>224</v>
      </c>
      <c r="S133">
        <v>2</v>
      </c>
      <c r="T133" t="s">
        <v>31</v>
      </c>
      <c r="U133">
        <v>0.29957059384580215</v>
      </c>
    </row>
    <row r="134" spans="1:21">
      <c r="A134">
        <v>157</v>
      </c>
      <c r="B134" s="1">
        <v>45709</v>
      </c>
      <c r="C134" t="s">
        <v>283</v>
      </c>
      <c r="D134" t="s">
        <v>284</v>
      </c>
      <c r="E134" t="s">
        <v>23</v>
      </c>
      <c r="F134" t="s">
        <v>43</v>
      </c>
      <c r="G134" t="s">
        <v>99</v>
      </c>
      <c r="H134" t="s">
        <v>26</v>
      </c>
      <c r="I134">
        <v>3</v>
      </c>
      <c r="J134">
        <v>28623.16</v>
      </c>
      <c r="K134">
        <v>0.05</v>
      </c>
      <c r="L134">
        <v>81576.009999999995</v>
      </c>
      <c r="M134">
        <v>55503.41</v>
      </c>
      <c r="N134">
        <v>26072.6</v>
      </c>
      <c r="O134" t="s">
        <v>38</v>
      </c>
      <c r="P134" t="s">
        <v>78</v>
      </c>
      <c r="Q134" t="s">
        <v>46</v>
      </c>
      <c r="R134" t="s">
        <v>224</v>
      </c>
      <c r="S134">
        <v>2</v>
      </c>
      <c r="T134" t="s">
        <v>31</v>
      </c>
      <c r="U134">
        <v>0.3196111209655878</v>
      </c>
    </row>
    <row r="135" spans="1:21">
      <c r="A135">
        <v>869</v>
      </c>
      <c r="B135" s="1">
        <v>45710</v>
      </c>
      <c r="C135" t="s">
        <v>285</v>
      </c>
      <c r="D135" t="s">
        <v>42</v>
      </c>
      <c r="E135" t="s">
        <v>97</v>
      </c>
      <c r="F135" t="s">
        <v>98</v>
      </c>
      <c r="G135" t="s">
        <v>25</v>
      </c>
      <c r="H135" t="s">
        <v>26</v>
      </c>
      <c r="I135">
        <v>2</v>
      </c>
      <c r="J135">
        <v>8434.7900000000009</v>
      </c>
      <c r="K135">
        <v>0.15</v>
      </c>
      <c r="L135">
        <v>14339.14</v>
      </c>
      <c r="M135">
        <v>11710.76</v>
      </c>
      <c r="N135">
        <v>2628.38</v>
      </c>
      <c r="O135" t="s">
        <v>27</v>
      </c>
      <c r="P135" t="s">
        <v>28</v>
      </c>
      <c r="Q135" t="s">
        <v>29</v>
      </c>
      <c r="R135" t="s">
        <v>224</v>
      </c>
      <c r="S135">
        <v>2</v>
      </c>
      <c r="T135" t="s">
        <v>31</v>
      </c>
      <c r="U135">
        <v>0.18330109058144353</v>
      </c>
    </row>
    <row r="136" spans="1:21">
      <c r="A136">
        <v>264</v>
      </c>
      <c r="B136" s="1">
        <v>45710</v>
      </c>
      <c r="C136" t="s">
        <v>52</v>
      </c>
      <c r="D136" t="s">
        <v>269</v>
      </c>
      <c r="E136" t="s">
        <v>54</v>
      </c>
      <c r="F136" t="s">
        <v>108</v>
      </c>
      <c r="G136" t="s">
        <v>99</v>
      </c>
      <c r="H136" t="s">
        <v>26</v>
      </c>
      <c r="I136">
        <v>1</v>
      </c>
      <c r="J136">
        <v>22378.91</v>
      </c>
      <c r="K136">
        <v>0.02</v>
      </c>
      <c r="L136">
        <v>21931.33</v>
      </c>
      <c r="M136">
        <v>18029.07</v>
      </c>
      <c r="N136">
        <v>3902.26</v>
      </c>
      <c r="O136" t="s">
        <v>38</v>
      </c>
      <c r="P136" t="s">
        <v>78</v>
      </c>
      <c r="Q136" t="s">
        <v>29</v>
      </c>
      <c r="R136" t="s">
        <v>224</v>
      </c>
      <c r="S136">
        <v>2</v>
      </c>
      <c r="T136" t="s">
        <v>31</v>
      </c>
      <c r="U136">
        <v>0.17793084140359933</v>
      </c>
    </row>
    <row r="137" spans="1:21">
      <c r="A137">
        <v>723</v>
      </c>
      <c r="B137" s="1">
        <v>45711</v>
      </c>
      <c r="C137" t="s">
        <v>286</v>
      </c>
      <c r="D137" t="s">
        <v>126</v>
      </c>
      <c r="E137" t="s">
        <v>97</v>
      </c>
      <c r="F137" t="s">
        <v>148</v>
      </c>
      <c r="G137" t="s">
        <v>36</v>
      </c>
      <c r="H137" t="s">
        <v>37</v>
      </c>
      <c r="I137">
        <v>3</v>
      </c>
      <c r="J137">
        <v>7858.5</v>
      </c>
      <c r="K137">
        <v>0.1</v>
      </c>
      <c r="L137">
        <v>21217.95</v>
      </c>
      <c r="M137">
        <v>20722.919999999998</v>
      </c>
      <c r="N137">
        <v>495.03</v>
      </c>
      <c r="O137" t="s">
        <v>38</v>
      </c>
      <c r="P137" t="s">
        <v>45</v>
      </c>
      <c r="Q137" t="s">
        <v>29</v>
      </c>
      <c r="R137" t="s">
        <v>224</v>
      </c>
      <c r="S137">
        <v>2</v>
      </c>
      <c r="T137" t="s">
        <v>31</v>
      </c>
      <c r="U137">
        <v>2.3330717623521593E-2</v>
      </c>
    </row>
    <row r="138" spans="1:21">
      <c r="A138">
        <v>195</v>
      </c>
      <c r="B138" s="1">
        <v>45711</v>
      </c>
      <c r="C138" t="s">
        <v>287</v>
      </c>
      <c r="D138" t="s">
        <v>288</v>
      </c>
      <c r="E138" t="s">
        <v>34</v>
      </c>
      <c r="F138" t="s">
        <v>86</v>
      </c>
      <c r="G138" t="s">
        <v>25</v>
      </c>
      <c r="H138" t="s">
        <v>26</v>
      </c>
      <c r="I138">
        <v>3</v>
      </c>
      <c r="J138">
        <v>14867.62</v>
      </c>
      <c r="K138">
        <v>0.02</v>
      </c>
      <c r="L138">
        <v>43710.8</v>
      </c>
      <c r="M138">
        <v>36478.79</v>
      </c>
      <c r="N138">
        <v>7232.01</v>
      </c>
      <c r="O138" t="s">
        <v>27</v>
      </c>
      <c r="P138" t="s">
        <v>28</v>
      </c>
      <c r="Q138" t="s">
        <v>40</v>
      </c>
      <c r="R138" t="s">
        <v>224</v>
      </c>
      <c r="S138">
        <v>2</v>
      </c>
      <c r="T138" t="s">
        <v>31</v>
      </c>
      <c r="U138">
        <v>0.16545133010606075</v>
      </c>
    </row>
    <row r="139" spans="1:21">
      <c r="A139">
        <v>432</v>
      </c>
      <c r="B139" s="1">
        <v>45711</v>
      </c>
      <c r="C139" t="s">
        <v>289</v>
      </c>
      <c r="D139" t="s">
        <v>107</v>
      </c>
      <c r="E139" t="s">
        <v>97</v>
      </c>
      <c r="F139" t="s">
        <v>104</v>
      </c>
      <c r="G139" t="s">
        <v>59</v>
      </c>
      <c r="H139" t="s">
        <v>37</v>
      </c>
      <c r="I139">
        <v>1</v>
      </c>
      <c r="J139">
        <v>9133.77</v>
      </c>
      <c r="K139">
        <v>0</v>
      </c>
      <c r="L139">
        <v>9133.77</v>
      </c>
      <c r="M139">
        <v>6560.22</v>
      </c>
      <c r="N139">
        <v>2573.5500000000002</v>
      </c>
      <c r="O139" t="s">
        <v>27</v>
      </c>
      <c r="P139" t="s">
        <v>39</v>
      </c>
      <c r="Q139" t="s">
        <v>40</v>
      </c>
      <c r="R139" t="s">
        <v>224</v>
      </c>
      <c r="S139">
        <v>2</v>
      </c>
      <c r="T139" t="s">
        <v>31</v>
      </c>
      <c r="U139">
        <v>0.281762076338686</v>
      </c>
    </row>
    <row r="140" spans="1:21">
      <c r="A140">
        <v>777</v>
      </c>
      <c r="B140" s="1">
        <v>45711</v>
      </c>
      <c r="C140" t="s">
        <v>60</v>
      </c>
      <c r="D140" t="s">
        <v>290</v>
      </c>
      <c r="E140" t="s">
        <v>97</v>
      </c>
      <c r="F140" t="s">
        <v>148</v>
      </c>
      <c r="G140" t="s">
        <v>105</v>
      </c>
      <c r="H140" t="s">
        <v>26</v>
      </c>
      <c r="I140">
        <v>1</v>
      </c>
      <c r="J140">
        <v>6897.54</v>
      </c>
      <c r="K140">
        <v>0.02</v>
      </c>
      <c r="L140">
        <v>6759.59</v>
      </c>
      <c r="M140">
        <v>5394.3</v>
      </c>
      <c r="N140">
        <v>1365.29</v>
      </c>
      <c r="O140" t="s">
        <v>38</v>
      </c>
      <c r="P140" t="s">
        <v>45</v>
      </c>
      <c r="Q140" t="s">
        <v>46</v>
      </c>
      <c r="R140" t="s">
        <v>224</v>
      </c>
      <c r="S140">
        <v>2</v>
      </c>
      <c r="T140" t="s">
        <v>31</v>
      </c>
      <c r="U140">
        <v>0.20197822649006816</v>
      </c>
    </row>
    <row r="141" spans="1:21">
      <c r="A141">
        <v>85</v>
      </c>
      <c r="B141" s="1">
        <v>45712</v>
      </c>
      <c r="C141" t="s">
        <v>213</v>
      </c>
      <c r="D141" t="s">
        <v>291</v>
      </c>
      <c r="E141" t="s">
        <v>76</v>
      </c>
      <c r="F141" t="s">
        <v>113</v>
      </c>
      <c r="G141" t="s">
        <v>66</v>
      </c>
      <c r="H141" t="s">
        <v>51</v>
      </c>
      <c r="I141">
        <v>3</v>
      </c>
      <c r="J141">
        <v>3081.14</v>
      </c>
      <c r="K141">
        <v>0</v>
      </c>
      <c r="L141">
        <v>9243.42</v>
      </c>
      <c r="M141">
        <v>6529.16</v>
      </c>
      <c r="N141">
        <v>2714.26</v>
      </c>
      <c r="O141" t="s">
        <v>27</v>
      </c>
      <c r="P141" t="s">
        <v>78</v>
      </c>
      <c r="Q141" t="s">
        <v>29</v>
      </c>
      <c r="R141" t="s">
        <v>224</v>
      </c>
      <c r="S141">
        <v>2</v>
      </c>
      <c r="T141" t="s">
        <v>31</v>
      </c>
      <c r="U141">
        <v>0.2936423964290274</v>
      </c>
    </row>
    <row r="142" spans="1:21">
      <c r="A142">
        <v>288</v>
      </c>
      <c r="B142" s="1">
        <v>45712</v>
      </c>
      <c r="C142" t="s">
        <v>292</v>
      </c>
      <c r="D142" t="s">
        <v>259</v>
      </c>
      <c r="E142" t="s">
        <v>54</v>
      </c>
      <c r="F142" t="s">
        <v>108</v>
      </c>
      <c r="G142" t="s">
        <v>50</v>
      </c>
      <c r="H142" t="s">
        <v>51</v>
      </c>
      <c r="I142">
        <v>1</v>
      </c>
      <c r="J142">
        <v>355.27</v>
      </c>
      <c r="K142">
        <v>0.1</v>
      </c>
      <c r="L142">
        <v>319.74</v>
      </c>
      <c r="M142">
        <v>236.7</v>
      </c>
      <c r="N142">
        <v>83.04</v>
      </c>
      <c r="O142" t="s">
        <v>38</v>
      </c>
      <c r="P142" t="s">
        <v>39</v>
      </c>
      <c r="Q142" t="s">
        <v>29</v>
      </c>
      <c r="R142" t="s">
        <v>224</v>
      </c>
      <c r="S142">
        <v>2</v>
      </c>
      <c r="T142" t="s">
        <v>31</v>
      </c>
      <c r="U142">
        <v>0.2597110151998499</v>
      </c>
    </row>
    <row r="143" spans="1:21">
      <c r="A143">
        <v>542</v>
      </c>
      <c r="B143" s="1">
        <v>45712</v>
      </c>
      <c r="C143" t="s">
        <v>293</v>
      </c>
      <c r="D143" t="s">
        <v>294</v>
      </c>
      <c r="E143" t="s">
        <v>23</v>
      </c>
      <c r="F143" t="s">
        <v>58</v>
      </c>
      <c r="G143" t="s">
        <v>36</v>
      </c>
      <c r="H143" t="s">
        <v>37</v>
      </c>
      <c r="I143">
        <v>4</v>
      </c>
      <c r="J143">
        <v>5854.25</v>
      </c>
      <c r="K143">
        <v>0.15</v>
      </c>
      <c r="L143">
        <v>19904.45</v>
      </c>
      <c r="M143">
        <v>17626.439999999999</v>
      </c>
      <c r="N143">
        <v>2278.0100000000002</v>
      </c>
      <c r="O143" t="s">
        <v>27</v>
      </c>
      <c r="P143" t="s">
        <v>71</v>
      </c>
      <c r="Q143" t="s">
        <v>46</v>
      </c>
      <c r="R143" t="s">
        <v>224</v>
      </c>
      <c r="S143">
        <v>2</v>
      </c>
      <c r="T143" t="s">
        <v>31</v>
      </c>
      <c r="U143">
        <v>0.11444727184122144</v>
      </c>
    </row>
    <row r="144" spans="1:21">
      <c r="A144">
        <v>681</v>
      </c>
      <c r="B144" s="1">
        <v>45713</v>
      </c>
      <c r="C144" t="s">
        <v>160</v>
      </c>
      <c r="D144" t="s">
        <v>161</v>
      </c>
      <c r="E144" t="s">
        <v>23</v>
      </c>
      <c r="F144" t="s">
        <v>24</v>
      </c>
      <c r="G144" t="s">
        <v>62</v>
      </c>
      <c r="H144" t="s">
        <v>63</v>
      </c>
      <c r="I144">
        <v>3</v>
      </c>
      <c r="J144">
        <v>296.64999999999998</v>
      </c>
      <c r="K144">
        <v>0.02</v>
      </c>
      <c r="L144">
        <v>872.15</v>
      </c>
      <c r="M144">
        <v>723.2</v>
      </c>
      <c r="N144">
        <v>148.94999999999999</v>
      </c>
      <c r="O144" t="s">
        <v>27</v>
      </c>
      <c r="P144" t="s">
        <v>45</v>
      </c>
      <c r="Q144" t="s">
        <v>29</v>
      </c>
      <c r="R144" t="s">
        <v>224</v>
      </c>
      <c r="S144">
        <v>2</v>
      </c>
      <c r="T144" t="s">
        <v>31</v>
      </c>
      <c r="U144">
        <v>0.1707848420569856</v>
      </c>
    </row>
    <row r="145" spans="1:21">
      <c r="A145">
        <v>998</v>
      </c>
      <c r="B145" s="1">
        <v>45714</v>
      </c>
      <c r="C145" t="s">
        <v>295</v>
      </c>
      <c r="D145" t="s">
        <v>57</v>
      </c>
      <c r="E145" t="s">
        <v>34</v>
      </c>
      <c r="F145" t="s">
        <v>35</v>
      </c>
      <c r="G145" t="s">
        <v>59</v>
      </c>
      <c r="H145" t="s">
        <v>37</v>
      </c>
      <c r="I145">
        <v>2</v>
      </c>
      <c r="J145">
        <v>8334.34</v>
      </c>
      <c r="K145">
        <v>0.1</v>
      </c>
      <c r="L145">
        <v>15001.81</v>
      </c>
      <c r="M145">
        <v>10402.780000000001</v>
      </c>
      <c r="N145">
        <v>4599.03</v>
      </c>
      <c r="O145" t="s">
        <v>27</v>
      </c>
      <c r="P145" t="s">
        <v>39</v>
      </c>
      <c r="Q145" t="s">
        <v>40</v>
      </c>
      <c r="R145" t="s">
        <v>224</v>
      </c>
      <c r="S145">
        <v>2</v>
      </c>
      <c r="T145" t="s">
        <v>31</v>
      </c>
      <c r="U145">
        <v>0.30656500782238943</v>
      </c>
    </row>
    <row r="146" spans="1:21">
      <c r="A146">
        <v>487</v>
      </c>
      <c r="B146" s="1">
        <v>45714</v>
      </c>
      <c r="C146" t="s">
        <v>296</v>
      </c>
      <c r="D146" t="s">
        <v>110</v>
      </c>
      <c r="E146" t="s">
        <v>34</v>
      </c>
      <c r="F146" t="s">
        <v>86</v>
      </c>
      <c r="G146" t="s">
        <v>145</v>
      </c>
      <c r="H146" t="s">
        <v>70</v>
      </c>
      <c r="I146">
        <v>1</v>
      </c>
      <c r="J146">
        <v>1044.68</v>
      </c>
      <c r="K146">
        <v>0.05</v>
      </c>
      <c r="L146">
        <v>992.45</v>
      </c>
      <c r="M146">
        <v>820.15</v>
      </c>
      <c r="N146">
        <v>172.3</v>
      </c>
      <c r="O146" t="s">
        <v>38</v>
      </c>
      <c r="P146" t="s">
        <v>28</v>
      </c>
      <c r="Q146" t="s">
        <v>29</v>
      </c>
      <c r="R146" t="s">
        <v>224</v>
      </c>
      <c r="S146">
        <v>2</v>
      </c>
      <c r="T146" t="s">
        <v>31</v>
      </c>
      <c r="U146">
        <v>0.17361076124741801</v>
      </c>
    </row>
    <row r="147" spans="1:21">
      <c r="A147">
        <v>359</v>
      </c>
      <c r="B147" s="1">
        <v>45715</v>
      </c>
      <c r="C147" t="s">
        <v>297</v>
      </c>
      <c r="D147" t="s">
        <v>298</v>
      </c>
      <c r="E147" t="s">
        <v>34</v>
      </c>
      <c r="F147" t="s">
        <v>49</v>
      </c>
      <c r="G147" t="s">
        <v>105</v>
      </c>
      <c r="H147" t="s">
        <v>26</v>
      </c>
      <c r="I147">
        <v>1</v>
      </c>
      <c r="J147">
        <v>4952.76</v>
      </c>
      <c r="K147">
        <v>0.02</v>
      </c>
      <c r="L147">
        <v>4853.7</v>
      </c>
      <c r="M147">
        <v>3606.68</v>
      </c>
      <c r="N147">
        <v>1247.02</v>
      </c>
      <c r="O147" t="s">
        <v>27</v>
      </c>
      <c r="P147" t="s">
        <v>45</v>
      </c>
      <c r="Q147" t="s">
        <v>40</v>
      </c>
      <c r="R147" t="s">
        <v>224</v>
      </c>
      <c r="S147">
        <v>2</v>
      </c>
      <c r="T147" t="s">
        <v>31</v>
      </c>
      <c r="U147">
        <v>0.25692152378597771</v>
      </c>
    </row>
    <row r="148" spans="1:21">
      <c r="A148">
        <v>166</v>
      </c>
      <c r="B148" s="1">
        <v>45715</v>
      </c>
      <c r="C148" t="s">
        <v>299</v>
      </c>
      <c r="D148" t="s">
        <v>300</v>
      </c>
      <c r="E148" t="s">
        <v>54</v>
      </c>
      <c r="F148" t="s">
        <v>55</v>
      </c>
      <c r="G148" t="s">
        <v>69</v>
      </c>
      <c r="H148" t="s">
        <v>70</v>
      </c>
      <c r="I148">
        <v>1</v>
      </c>
      <c r="J148">
        <v>1532.1</v>
      </c>
      <c r="K148">
        <v>0.05</v>
      </c>
      <c r="L148">
        <v>1455.49</v>
      </c>
      <c r="M148">
        <v>1162.2</v>
      </c>
      <c r="N148">
        <v>293.29000000000002</v>
      </c>
      <c r="O148" t="s">
        <v>38</v>
      </c>
      <c r="P148" t="s">
        <v>78</v>
      </c>
      <c r="Q148" t="s">
        <v>40</v>
      </c>
      <c r="R148" t="s">
        <v>224</v>
      </c>
      <c r="S148">
        <v>2</v>
      </c>
      <c r="T148" t="s">
        <v>31</v>
      </c>
      <c r="U148">
        <v>0.20150602202694626</v>
      </c>
    </row>
    <row r="149" spans="1:21">
      <c r="A149">
        <v>837</v>
      </c>
      <c r="B149" s="1">
        <v>45716</v>
      </c>
      <c r="C149" t="s">
        <v>301</v>
      </c>
      <c r="D149" t="s">
        <v>302</v>
      </c>
      <c r="E149" t="s">
        <v>34</v>
      </c>
      <c r="F149" t="s">
        <v>35</v>
      </c>
      <c r="G149" t="s">
        <v>105</v>
      </c>
      <c r="H149" t="s">
        <v>26</v>
      </c>
      <c r="I149">
        <v>1</v>
      </c>
      <c r="J149">
        <v>3524.69</v>
      </c>
      <c r="K149">
        <v>0.05</v>
      </c>
      <c r="L149">
        <v>3348.46</v>
      </c>
      <c r="M149">
        <v>2718.34</v>
      </c>
      <c r="N149">
        <v>630.12</v>
      </c>
      <c r="O149" t="s">
        <v>38</v>
      </c>
      <c r="P149" t="s">
        <v>78</v>
      </c>
      <c r="Q149" t="s">
        <v>46</v>
      </c>
      <c r="R149" t="s">
        <v>224</v>
      </c>
      <c r="S149">
        <v>2</v>
      </c>
      <c r="T149" t="s">
        <v>31</v>
      </c>
      <c r="U149">
        <v>0.18818202994809555</v>
      </c>
    </row>
    <row r="150" spans="1:21">
      <c r="A150">
        <v>753</v>
      </c>
      <c r="B150" s="1">
        <v>45716</v>
      </c>
      <c r="C150" t="s">
        <v>303</v>
      </c>
      <c r="D150" t="s">
        <v>73</v>
      </c>
      <c r="E150" t="s">
        <v>34</v>
      </c>
      <c r="F150" t="s">
        <v>86</v>
      </c>
      <c r="G150" t="s">
        <v>62</v>
      </c>
      <c r="H150" t="s">
        <v>63</v>
      </c>
      <c r="I150">
        <v>3</v>
      </c>
      <c r="J150">
        <v>263.17</v>
      </c>
      <c r="K150">
        <v>0.15</v>
      </c>
      <c r="L150">
        <v>671.08</v>
      </c>
      <c r="M150">
        <v>609.6</v>
      </c>
      <c r="N150">
        <v>61.48</v>
      </c>
      <c r="O150" t="s">
        <v>27</v>
      </c>
      <c r="P150" t="s">
        <v>28</v>
      </c>
      <c r="Q150" t="s">
        <v>29</v>
      </c>
      <c r="R150" t="s">
        <v>224</v>
      </c>
      <c r="S150">
        <v>2</v>
      </c>
      <c r="T150" t="s">
        <v>31</v>
      </c>
      <c r="U150">
        <v>9.1613518507480465E-2</v>
      </c>
    </row>
    <row r="151" spans="1:21">
      <c r="A151">
        <v>827</v>
      </c>
      <c r="B151" s="1">
        <v>45718</v>
      </c>
      <c r="C151" t="s">
        <v>304</v>
      </c>
      <c r="D151" t="s">
        <v>305</v>
      </c>
      <c r="E151" t="s">
        <v>23</v>
      </c>
      <c r="F151" t="s">
        <v>43</v>
      </c>
      <c r="G151" t="s">
        <v>25</v>
      </c>
      <c r="H151" t="s">
        <v>26</v>
      </c>
      <c r="I151">
        <v>4</v>
      </c>
      <c r="J151">
        <v>6461.38</v>
      </c>
      <c r="K151">
        <v>0.15</v>
      </c>
      <c r="L151">
        <v>21968.69</v>
      </c>
      <c r="M151">
        <v>17786.87</v>
      </c>
      <c r="N151">
        <v>4181.82</v>
      </c>
      <c r="O151" t="s">
        <v>27</v>
      </c>
      <c r="P151" t="s">
        <v>71</v>
      </c>
      <c r="Q151" t="s">
        <v>40</v>
      </c>
      <c r="R151" t="s">
        <v>306</v>
      </c>
      <c r="S151">
        <v>3</v>
      </c>
      <c r="T151" t="s">
        <v>31</v>
      </c>
      <c r="U151">
        <v>0.19035363510523384</v>
      </c>
    </row>
    <row r="152" spans="1:21">
      <c r="A152">
        <v>64</v>
      </c>
      <c r="B152" s="1">
        <v>45718</v>
      </c>
      <c r="C152" t="s">
        <v>307</v>
      </c>
      <c r="D152" t="s">
        <v>308</v>
      </c>
      <c r="E152" t="s">
        <v>23</v>
      </c>
      <c r="F152" t="s">
        <v>58</v>
      </c>
      <c r="G152" t="s">
        <v>66</v>
      </c>
      <c r="H152" t="s">
        <v>51</v>
      </c>
      <c r="I152">
        <v>1</v>
      </c>
      <c r="J152">
        <v>2978.47</v>
      </c>
      <c r="K152">
        <v>0.05</v>
      </c>
      <c r="L152">
        <v>2829.55</v>
      </c>
      <c r="M152">
        <v>2559.7800000000002</v>
      </c>
      <c r="N152">
        <v>269.77</v>
      </c>
      <c r="O152" t="s">
        <v>38</v>
      </c>
      <c r="P152" t="s">
        <v>28</v>
      </c>
      <c r="Q152" t="s">
        <v>46</v>
      </c>
      <c r="R152" t="s">
        <v>306</v>
      </c>
      <c r="S152">
        <v>3</v>
      </c>
      <c r="T152" t="s">
        <v>31</v>
      </c>
      <c r="U152">
        <v>9.5340248449400075E-2</v>
      </c>
    </row>
    <row r="153" spans="1:21">
      <c r="A153">
        <v>62</v>
      </c>
      <c r="B153" s="1">
        <v>45718</v>
      </c>
      <c r="C153" t="s">
        <v>116</v>
      </c>
      <c r="D153" t="s">
        <v>309</v>
      </c>
      <c r="E153" t="s">
        <v>54</v>
      </c>
      <c r="F153" t="s">
        <v>127</v>
      </c>
      <c r="G153" t="s">
        <v>105</v>
      </c>
      <c r="H153" t="s">
        <v>26</v>
      </c>
      <c r="I153">
        <v>1</v>
      </c>
      <c r="J153">
        <v>7145.36</v>
      </c>
      <c r="K153">
        <v>0.15</v>
      </c>
      <c r="L153">
        <v>6073.56</v>
      </c>
      <c r="M153">
        <v>6237.96</v>
      </c>
      <c r="N153">
        <v>-164.4</v>
      </c>
      <c r="O153" t="s">
        <v>38</v>
      </c>
      <c r="P153" t="s">
        <v>71</v>
      </c>
      <c r="Q153" t="s">
        <v>29</v>
      </c>
      <c r="R153" t="s">
        <v>306</v>
      </c>
      <c r="S153">
        <v>3</v>
      </c>
      <c r="T153" t="s">
        <v>31</v>
      </c>
      <c r="U153">
        <v>-2.706814454784344E-2</v>
      </c>
    </row>
    <row r="154" spans="1:21">
      <c r="A154">
        <v>115</v>
      </c>
      <c r="B154" s="1">
        <v>45719</v>
      </c>
      <c r="C154" t="s">
        <v>151</v>
      </c>
      <c r="D154" t="s">
        <v>310</v>
      </c>
      <c r="E154" t="s">
        <v>23</v>
      </c>
      <c r="F154" t="s">
        <v>24</v>
      </c>
      <c r="G154" t="s">
        <v>44</v>
      </c>
      <c r="H154" t="s">
        <v>26</v>
      </c>
      <c r="I154">
        <v>1</v>
      </c>
      <c r="J154">
        <v>58477.9</v>
      </c>
      <c r="K154">
        <v>0.05</v>
      </c>
      <c r="L154">
        <v>55554</v>
      </c>
      <c r="M154">
        <v>47784.75</v>
      </c>
      <c r="N154">
        <v>7769.25</v>
      </c>
      <c r="O154" t="s">
        <v>38</v>
      </c>
      <c r="P154" t="s">
        <v>39</v>
      </c>
      <c r="Q154" t="s">
        <v>40</v>
      </c>
      <c r="R154" t="s">
        <v>306</v>
      </c>
      <c r="S154">
        <v>3</v>
      </c>
      <c r="T154" t="s">
        <v>31</v>
      </c>
      <c r="U154">
        <v>0.13985041581164273</v>
      </c>
    </row>
    <row r="155" spans="1:21">
      <c r="A155">
        <v>241</v>
      </c>
      <c r="B155" s="1">
        <v>45719</v>
      </c>
      <c r="C155" t="s">
        <v>311</v>
      </c>
      <c r="D155" t="s">
        <v>312</v>
      </c>
      <c r="E155" t="s">
        <v>54</v>
      </c>
      <c r="F155" t="s">
        <v>55</v>
      </c>
      <c r="G155" t="s">
        <v>50</v>
      </c>
      <c r="H155" t="s">
        <v>51</v>
      </c>
      <c r="I155">
        <v>2</v>
      </c>
      <c r="J155">
        <v>883.2</v>
      </c>
      <c r="K155">
        <v>0.02</v>
      </c>
      <c r="L155">
        <v>1731.07</v>
      </c>
      <c r="M155">
        <v>1513.16</v>
      </c>
      <c r="N155">
        <v>217.91</v>
      </c>
      <c r="O155" t="s">
        <v>38</v>
      </c>
      <c r="P155" t="s">
        <v>28</v>
      </c>
      <c r="Q155" t="s">
        <v>46</v>
      </c>
      <c r="R155" t="s">
        <v>306</v>
      </c>
      <c r="S155">
        <v>3</v>
      </c>
      <c r="T155" t="s">
        <v>31</v>
      </c>
      <c r="U155">
        <v>0.12588168011692191</v>
      </c>
    </row>
    <row r="156" spans="1:21">
      <c r="A156">
        <v>587</v>
      </c>
      <c r="B156" s="1">
        <v>45719</v>
      </c>
      <c r="C156" t="s">
        <v>313</v>
      </c>
      <c r="D156" t="s">
        <v>314</v>
      </c>
      <c r="E156" t="s">
        <v>76</v>
      </c>
      <c r="F156" t="s">
        <v>77</v>
      </c>
      <c r="G156" t="s">
        <v>25</v>
      </c>
      <c r="H156" t="s">
        <v>26</v>
      </c>
      <c r="I156">
        <v>2</v>
      </c>
      <c r="J156">
        <v>15985.81</v>
      </c>
      <c r="K156">
        <v>0.1</v>
      </c>
      <c r="L156">
        <v>28774.46</v>
      </c>
      <c r="M156">
        <v>27101.64</v>
      </c>
      <c r="N156">
        <v>1672.82</v>
      </c>
      <c r="O156" t="s">
        <v>38</v>
      </c>
      <c r="P156" t="s">
        <v>45</v>
      </c>
      <c r="Q156" t="s">
        <v>40</v>
      </c>
      <c r="R156" t="s">
        <v>306</v>
      </c>
      <c r="S156">
        <v>3</v>
      </c>
      <c r="T156" t="s">
        <v>31</v>
      </c>
      <c r="U156">
        <v>5.8135582735523099E-2</v>
      </c>
    </row>
    <row r="157" spans="1:21">
      <c r="A157">
        <v>9</v>
      </c>
      <c r="B157" s="1">
        <v>45719</v>
      </c>
      <c r="C157" t="s">
        <v>281</v>
      </c>
      <c r="D157" t="s">
        <v>271</v>
      </c>
      <c r="E157" t="s">
        <v>54</v>
      </c>
      <c r="F157" t="s">
        <v>55</v>
      </c>
      <c r="G157" t="s">
        <v>25</v>
      </c>
      <c r="H157" t="s">
        <v>26</v>
      </c>
      <c r="I157">
        <v>1</v>
      </c>
      <c r="J157">
        <v>15972.77</v>
      </c>
      <c r="K157">
        <v>0</v>
      </c>
      <c r="L157">
        <v>15972.77</v>
      </c>
      <c r="M157">
        <v>10167.07</v>
      </c>
      <c r="N157">
        <v>5805.7</v>
      </c>
      <c r="O157" t="s">
        <v>38</v>
      </c>
      <c r="P157" t="s">
        <v>78</v>
      </c>
      <c r="Q157" t="s">
        <v>40</v>
      </c>
      <c r="R157" t="s">
        <v>306</v>
      </c>
      <c r="S157">
        <v>3</v>
      </c>
      <c r="T157" t="s">
        <v>31</v>
      </c>
      <c r="U157">
        <v>0.36347483874118264</v>
      </c>
    </row>
    <row r="158" spans="1:21">
      <c r="A158">
        <v>978</v>
      </c>
      <c r="B158" s="1">
        <v>45719</v>
      </c>
      <c r="C158" t="s">
        <v>315</v>
      </c>
      <c r="D158" t="s">
        <v>316</v>
      </c>
      <c r="E158" t="s">
        <v>54</v>
      </c>
      <c r="F158" t="s">
        <v>55</v>
      </c>
      <c r="G158" t="s">
        <v>50</v>
      </c>
      <c r="H158" t="s">
        <v>51</v>
      </c>
      <c r="I158">
        <v>1</v>
      </c>
      <c r="J158">
        <v>1466.31</v>
      </c>
      <c r="K158">
        <v>0</v>
      </c>
      <c r="L158">
        <v>1466.31</v>
      </c>
      <c r="M158">
        <v>1178.4100000000001</v>
      </c>
      <c r="N158">
        <v>287.89999999999998</v>
      </c>
      <c r="O158" t="s">
        <v>27</v>
      </c>
      <c r="P158" t="s">
        <v>78</v>
      </c>
      <c r="Q158" t="s">
        <v>29</v>
      </c>
      <c r="R158" t="s">
        <v>306</v>
      </c>
      <c r="S158">
        <v>3</v>
      </c>
      <c r="T158" t="s">
        <v>31</v>
      </c>
      <c r="U158">
        <v>0.19634320164221752</v>
      </c>
    </row>
    <row r="159" spans="1:21">
      <c r="A159">
        <v>846</v>
      </c>
      <c r="B159" s="1">
        <v>45720</v>
      </c>
      <c r="C159" t="s">
        <v>95</v>
      </c>
      <c r="D159" t="s">
        <v>157</v>
      </c>
      <c r="E159" t="s">
        <v>23</v>
      </c>
      <c r="F159" t="s">
        <v>24</v>
      </c>
      <c r="G159" t="s">
        <v>62</v>
      </c>
      <c r="H159" t="s">
        <v>63</v>
      </c>
      <c r="I159">
        <v>4</v>
      </c>
      <c r="J159">
        <v>175.58</v>
      </c>
      <c r="K159">
        <v>0</v>
      </c>
      <c r="L159">
        <v>702.32</v>
      </c>
      <c r="M159">
        <v>571.79999999999995</v>
      </c>
      <c r="N159">
        <v>130.52000000000001</v>
      </c>
      <c r="O159" t="s">
        <v>38</v>
      </c>
      <c r="P159" t="s">
        <v>71</v>
      </c>
      <c r="Q159" t="s">
        <v>40</v>
      </c>
      <c r="R159" t="s">
        <v>306</v>
      </c>
      <c r="S159">
        <v>3</v>
      </c>
      <c r="T159" t="s">
        <v>31</v>
      </c>
      <c r="U159">
        <v>0.1858412119831416</v>
      </c>
    </row>
    <row r="160" spans="1:21">
      <c r="A160">
        <v>566</v>
      </c>
      <c r="B160" s="1">
        <v>45721</v>
      </c>
      <c r="C160" t="s">
        <v>289</v>
      </c>
      <c r="D160" t="s">
        <v>85</v>
      </c>
      <c r="E160" t="s">
        <v>23</v>
      </c>
      <c r="F160" t="s">
        <v>58</v>
      </c>
      <c r="G160" t="s">
        <v>145</v>
      </c>
      <c r="H160" t="s">
        <v>70</v>
      </c>
      <c r="I160">
        <v>1</v>
      </c>
      <c r="J160">
        <v>1586.48</v>
      </c>
      <c r="K160">
        <v>0.1</v>
      </c>
      <c r="L160">
        <v>1427.83</v>
      </c>
      <c r="M160">
        <v>1175.01</v>
      </c>
      <c r="N160">
        <v>252.82</v>
      </c>
      <c r="O160" t="s">
        <v>38</v>
      </c>
      <c r="P160" t="s">
        <v>45</v>
      </c>
      <c r="Q160" t="s">
        <v>46</v>
      </c>
      <c r="R160" t="s">
        <v>306</v>
      </c>
      <c r="S160">
        <v>3</v>
      </c>
      <c r="T160" t="s">
        <v>31</v>
      </c>
      <c r="U160">
        <v>0.17706589720064714</v>
      </c>
    </row>
    <row r="161" spans="1:21">
      <c r="A161">
        <v>145</v>
      </c>
      <c r="B161" s="1">
        <v>45721</v>
      </c>
      <c r="C161" t="s">
        <v>317</v>
      </c>
      <c r="D161" t="s">
        <v>316</v>
      </c>
      <c r="E161" t="s">
        <v>97</v>
      </c>
      <c r="F161" t="s">
        <v>98</v>
      </c>
      <c r="G161" t="s">
        <v>69</v>
      </c>
      <c r="H161" t="s">
        <v>70</v>
      </c>
      <c r="I161">
        <v>1</v>
      </c>
      <c r="J161">
        <v>1471.53</v>
      </c>
      <c r="K161">
        <v>0.1</v>
      </c>
      <c r="L161">
        <v>1324.38</v>
      </c>
      <c r="M161">
        <v>1182.76</v>
      </c>
      <c r="N161">
        <v>141.62</v>
      </c>
      <c r="O161" t="s">
        <v>38</v>
      </c>
      <c r="P161" t="s">
        <v>71</v>
      </c>
      <c r="Q161" t="s">
        <v>46</v>
      </c>
      <c r="R161" t="s">
        <v>306</v>
      </c>
      <c r="S161">
        <v>3</v>
      </c>
      <c r="T161" t="s">
        <v>31</v>
      </c>
      <c r="U161">
        <v>0.10693305546746401</v>
      </c>
    </row>
    <row r="162" spans="1:21">
      <c r="A162">
        <v>454</v>
      </c>
      <c r="B162" s="1">
        <v>45722</v>
      </c>
      <c r="C162" t="s">
        <v>318</v>
      </c>
      <c r="D162" t="s">
        <v>200</v>
      </c>
      <c r="E162" t="s">
        <v>54</v>
      </c>
      <c r="F162" t="s">
        <v>55</v>
      </c>
      <c r="G162" t="s">
        <v>59</v>
      </c>
      <c r="H162" t="s">
        <v>37</v>
      </c>
      <c r="I162">
        <v>1</v>
      </c>
      <c r="J162">
        <v>12433.26</v>
      </c>
      <c r="K162">
        <v>0.15</v>
      </c>
      <c r="L162">
        <v>10568.27</v>
      </c>
      <c r="M162">
        <v>10913.9</v>
      </c>
      <c r="N162">
        <v>-345.63</v>
      </c>
      <c r="O162" t="s">
        <v>38</v>
      </c>
      <c r="P162" t="s">
        <v>39</v>
      </c>
      <c r="Q162" t="s">
        <v>46</v>
      </c>
      <c r="R162" t="s">
        <v>306</v>
      </c>
      <c r="S162">
        <v>3</v>
      </c>
      <c r="T162" t="s">
        <v>31</v>
      </c>
      <c r="U162">
        <v>-3.2704501304376209E-2</v>
      </c>
    </row>
    <row r="163" spans="1:21">
      <c r="A163">
        <v>875</v>
      </c>
      <c r="B163" s="1">
        <v>45722</v>
      </c>
      <c r="C163" t="s">
        <v>315</v>
      </c>
      <c r="D163" t="s">
        <v>143</v>
      </c>
      <c r="E163" t="s">
        <v>54</v>
      </c>
      <c r="F163" t="s">
        <v>55</v>
      </c>
      <c r="G163" t="s">
        <v>50</v>
      </c>
      <c r="H163" t="s">
        <v>51</v>
      </c>
      <c r="I163">
        <v>1</v>
      </c>
      <c r="J163">
        <v>310.39999999999998</v>
      </c>
      <c r="K163">
        <v>0.15</v>
      </c>
      <c r="L163">
        <v>263.83999999999997</v>
      </c>
      <c r="M163">
        <v>197.8</v>
      </c>
      <c r="N163">
        <v>66.040000000000006</v>
      </c>
      <c r="O163" t="s">
        <v>38</v>
      </c>
      <c r="P163" t="s">
        <v>45</v>
      </c>
      <c r="Q163" t="s">
        <v>46</v>
      </c>
      <c r="R163" t="s">
        <v>306</v>
      </c>
      <c r="S163">
        <v>3</v>
      </c>
      <c r="T163" t="s">
        <v>31</v>
      </c>
      <c r="U163">
        <v>0.25030321406913286</v>
      </c>
    </row>
    <row r="164" spans="1:21">
      <c r="A164">
        <v>644</v>
      </c>
      <c r="B164" s="1">
        <v>45722</v>
      </c>
      <c r="C164" t="s">
        <v>286</v>
      </c>
      <c r="D164" t="s">
        <v>176</v>
      </c>
      <c r="E164" t="s">
        <v>76</v>
      </c>
      <c r="F164" t="s">
        <v>113</v>
      </c>
      <c r="G164" t="s">
        <v>66</v>
      </c>
      <c r="H164" t="s">
        <v>51</v>
      </c>
      <c r="I164">
        <v>1</v>
      </c>
      <c r="J164">
        <v>2584.0700000000002</v>
      </c>
      <c r="K164">
        <v>0.05</v>
      </c>
      <c r="L164">
        <v>2454.87</v>
      </c>
      <c r="M164">
        <v>1944.44</v>
      </c>
      <c r="N164">
        <v>510.43</v>
      </c>
      <c r="O164" t="s">
        <v>27</v>
      </c>
      <c r="P164" t="s">
        <v>45</v>
      </c>
      <c r="Q164" t="s">
        <v>29</v>
      </c>
      <c r="R164" t="s">
        <v>306</v>
      </c>
      <c r="S164">
        <v>3</v>
      </c>
      <c r="T164" t="s">
        <v>31</v>
      </c>
      <c r="U164">
        <v>0.20792547059518429</v>
      </c>
    </row>
    <row r="165" spans="1:21">
      <c r="A165">
        <v>230</v>
      </c>
      <c r="B165" s="1">
        <v>45722</v>
      </c>
      <c r="C165" t="s">
        <v>319</v>
      </c>
      <c r="D165" t="s">
        <v>320</v>
      </c>
      <c r="E165" t="s">
        <v>97</v>
      </c>
      <c r="F165" t="s">
        <v>98</v>
      </c>
      <c r="G165" t="s">
        <v>25</v>
      </c>
      <c r="H165" t="s">
        <v>26</v>
      </c>
      <c r="I165">
        <v>1</v>
      </c>
      <c r="J165">
        <v>16707.2</v>
      </c>
      <c r="K165">
        <v>0.02</v>
      </c>
      <c r="L165">
        <v>16373.06</v>
      </c>
      <c r="M165">
        <v>14176.64</v>
      </c>
      <c r="N165">
        <v>2196.42</v>
      </c>
      <c r="O165" t="s">
        <v>27</v>
      </c>
      <c r="P165" t="s">
        <v>28</v>
      </c>
      <c r="Q165" t="s">
        <v>46</v>
      </c>
      <c r="R165" t="s">
        <v>306</v>
      </c>
      <c r="S165">
        <v>3</v>
      </c>
      <c r="T165" t="s">
        <v>31</v>
      </c>
      <c r="U165">
        <v>0.13414841208668388</v>
      </c>
    </row>
    <row r="166" spans="1:21">
      <c r="A166">
        <v>952</v>
      </c>
      <c r="B166" s="1">
        <v>45723</v>
      </c>
      <c r="C166" t="s">
        <v>199</v>
      </c>
      <c r="D166" t="s">
        <v>230</v>
      </c>
      <c r="E166" t="s">
        <v>23</v>
      </c>
      <c r="F166" t="s">
        <v>43</v>
      </c>
      <c r="G166" t="s">
        <v>105</v>
      </c>
      <c r="H166" t="s">
        <v>26</v>
      </c>
      <c r="I166">
        <v>2</v>
      </c>
      <c r="J166">
        <v>4917.42</v>
      </c>
      <c r="K166">
        <v>0.1</v>
      </c>
      <c r="L166">
        <v>8851.36</v>
      </c>
      <c r="M166">
        <v>6275.05</v>
      </c>
      <c r="N166">
        <v>2576.31</v>
      </c>
      <c r="O166" t="s">
        <v>27</v>
      </c>
      <c r="P166" t="s">
        <v>78</v>
      </c>
      <c r="Q166" t="s">
        <v>46</v>
      </c>
      <c r="R166" t="s">
        <v>306</v>
      </c>
      <c r="S166">
        <v>3</v>
      </c>
      <c r="T166" t="s">
        <v>31</v>
      </c>
      <c r="U166">
        <v>0.29106374613618696</v>
      </c>
    </row>
    <row r="167" spans="1:21">
      <c r="A167">
        <v>560</v>
      </c>
      <c r="B167" s="1">
        <v>45723</v>
      </c>
      <c r="C167" t="s">
        <v>321</v>
      </c>
      <c r="D167" t="s">
        <v>48</v>
      </c>
      <c r="E167" t="s">
        <v>34</v>
      </c>
      <c r="F167" t="s">
        <v>49</v>
      </c>
      <c r="G167" t="s">
        <v>105</v>
      </c>
      <c r="H167" t="s">
        <v>26</v>
      </c>
      <c r="I167">
        <v>1</v>
      </c>
      <c r="J167">
        <v>1547.93</v>
      </c>
      <c r="K167">
        <v>0.15</v>
      </c>
      <c r="L167">
        <v>1315.74</v>
      </c>
      <c r="M167">
        <v>1157.73</v>
      </c>
      <c r="N167">
        <v>158.01</v>
      </c>
      <c r="O167" t="s">
        <v>38</v>
      </c>
      <c r="P167" t="s">
        <v>78</v>
      </c>
      <c r="Q167" t="s">
        <v>29</v>
      </c>
      <c r="R167" t="s">
        <v>306</v>
      </c>
      <c r="S167">
        <v>3</v>
      </c>
      <c r="T167" t="s">
        <v>31</v>
      </c>
      <c r="U167">
        <v>0.12009211546354143</v>
      </c>
    </row>
    <row r="168" spans="1:21">
      <c r="A168">
        <v>669</v>
      </c>
      <c r="B168" s="1">
        <v>45723</v>
      </c>
      <c r="C168" t="s">
        <v>114</v>
      </c>
      <c r="D168" t="s">
        <v>302</v>
      </c>
      <c r="E168" t="s">
        <v>54</v>
      </c>
      <c r="F168" t="s">
        <v>127</v>
      </c>
      <c r="G168" t="s">
        <v>62</v>
      </c>
      <c r="H168" t="s">
        <v>63</v>
      </c>
      <c r="I168">
        <v>1</v>
      </c>
      <c r="J168">
        <v>376.19</v>
      </c>
      <c r="K168">
        <v>0</v>
      </c>
      <c r="L168">
        <v>376.19</v>
      </c>
      <c r="M168">
        <v>298</v>
      </c>
      <c r="N168">
        <v>78.19</v>
      </c>
      <c r="O168" t="s">
        <v>27</v>
      </c>
      <c r="P168" t="s">
        <v>45</v>
      </c>
      <c r="Q168" t="s">
        <v>40</v>
      </c>
      <c r="R168" t="s">
        <v>306</v>
      </c>
      <c r="S168">
        <v>3</v>
      </c>
      <c r="T168" t="s">
        <v>31</v>
      </c>
      <c r="U168">
        <v>0.20784709854063105</v>
      </c>
    </row>
    <row r="169" spans="1:21">
      <c r="A169">
        <v>891</v>
      </c>
      <c r="B169" s="1">
        <v>45724</v>
      </c>
      <c r="C169" t="s">
        <v>149</v>
      </c>
      <c r="D169" t="s">
        <v>322</v>
      </c>
      <c r="E169" t="s">
        <v>54</v>
      </c>
      <c r="F169" t="s">
        <v>127</v>
      </c>
      <c r="G169" t="s">
        <v>145</v>
      </c>
      <c r="H169" t="s">
        <v>70</v>
      </c>
      <c r="I169">
        <v>2</v>
      </c>
      <c r="J169">
        <v>1821.4</v>
      </c>
      <c r="K169">
        <v>0.05</v>
      </c>
      <c r="L169">
        <v>3460.66</v>
      </c>
      <c r="M169">
        <v>2600.6999999999998</v>
      </c>
      <c r="N169">
        <v>859.96</v>
      </c>
      <c r="O169" t="s">
        <v>38</v>
      </c>
      <c r="P169" t="s">
        <v>28</v>
      </c>
      <c r="Q169" t="s">
        <v>40</v>
      </c>
      <c r="R169" t="s">
        <v>306</v>
      </c>
      <c r="S169">
        <v>3</v>
      </c>
      <c r="T169" t="s">
        <v>31</v>
      </c>
      <c r="U169">
        <v>0.2484959516392827</v>
      </c>
    </row>
    <row r="170" spans="1:21">
      <c r="A170">
        <v>883</v>
      </c>
      <c r="B170" s="1">
        <v>45724</v>
      </c>
      <c r="C170" t="s">
        <v>323</v>
      </c>
      <c r="D170" t="s">
        <v>324</v>
      </c>
      <c r="E170" t="s">
        <v>34</v>
      </c>
      <c r="F170" t="s">
        <v>49</v>
      </c>
      <c r="G170" t="s">
        <v>105</v>
      </c>
      <c r="H170" t="s">
        <v>26</v>
      </c>
      <c r="I170">
        <v>1</v>
      </c>
      <c r="J170">
        <v>7640.76</v>
      </c>
      <c r="K170">
        <v>0.1</v>
      </c>
      <c r="L170">
        <v>6876.68</v>
      </c>
      <c r="M170">
        <v>5821.76</v>
      </c>
      <c r="N170">
        <v>1054.92</v>
      </c>
      <c r="O170" t="s">
        <v>27</v>
      </c>
      <c r="P170" t="s">
        <v>45</v>
      </c>
      <c r="Q170" t="s">
        <v>46</v>
      </c>
      <c r="R170" t="s">
        <v>306</v>
      </c>
      <c r="S170">
        <v>3</v>
      </c>
      <c r="T170" t="s">
        <v>31</v>
      </c>
      <c r="U170">
        <v>0.15340542238405744</v>
      </c>
    </row>
    <row r="171" spans="1:21">
      <c r="A171">
        <v>164</v>
      </c>
      <c r="B171" s="1">
        <v>45725</v>
      </c>
      <c r="C171" t="s">
        <v>84</v>
      </c>
      <c r="D171" t="s">
        <v>325</v>
      </c>
      <c r="E171" t="s">
        <v>34</v>
      </c>
      <c r="F171" t="s">
        <v>49</v>
      </c>
      <c r="G171" t="s">
        <v>59</v>
      </c>
      <c r="H171" t="s">
        <v>37</v>
      </c>
      <c r="I171">
        <v>1</v>
      </c>
      <c r="J171">
        <v>14418.72</v>
      </c>
      <c r="K171">
        <v>0.1</v>
      </c>
      <c r="L171">
        <v>12976.85</v>
      </c>
      <c r="M171">
        <v>12008.83</v>
      </c>
      <c r="N171">
        <v>968.02</v>
      </c>
      <c r="O171" t="s">
        <v>27</v>
      </c>
      <c r="P171" t="s">
        <v>71</v>
      </c>
      <c r="Q171" t="s">
        <v>40</v>
      </c>
      <c r="R171" t="s">
        <v>306</v>
      </c>
      <c r="S171">
        <v>3</v>
      </c>
      <c r="T171" t="s">
        <v>31</v>
      </c>
      <c r="U171">
        <v>7.4595915033309312E-2</v>
      </c>
    </row>
    <row r="172" spans="1:21">
      <c r="A172">
        <v>504</v>
      </c>
      <c r="B172" s="1">
        <v>45725</v>
      </c>
      <c r="C172" t="s">
        <v>160</v>
      </c>
      <c r="D172" t="s">
        <v>326</v>
      </c>
      <c r="E172" t="s">
        <v>34</v>
      </c>
      <c r="F172" t="s">
        <v>49</v>
      </c>
      <c r="G172" t="s">
        <v>59</v>
      </c>
      <c r="H172" t="s">
        <v>37</v>
      </c>
      <c r="I172">
        <v>1</v>
      </c>
      <c r="J172">
        <v>11300.96</v>
      </c>
      <c r="K172">
        <v>0.15</v>
      </c>
      <c r="L172">
        <v>9605.82</v>
      </c>
      <c r="M172">
        <v>8124.55</v>
      </c>
      <c r="N172">
        <v>1481.27</v>
      </c>
      <c r="O172" t="s">
        <v>27</v>
      </c>
      <c r="P172" t="s">
        <v>78</v>
      </c>
      <c r="Q172" t="s">
        <v>40</v>
      </c>
      <c r="R172" t="s">
        <v>306</v>
      </c>
      <c r="S172">
        <v>3</v>
      </c>
      <c r="T172" t="s">
        <v>31</v>
      </c>
      <c r="U172">
        <v>0.1542054712663781</v>
      </c>
    </row>
    <row r="173" spans="1:21">
      <c r="A173">
        <v>590</v>
      </c>
      <c r="B173" s="1">
        <v>45726</v>
      </c>
      <c r="C173" t="s">
        <v>327</v>
      </c>
      <c r="D173" t="s">
        <v>291</v>
      </c>
      <c r="E173" t="s">
        <v>76</v>
      </c>
      <c r="F173" t="s">
        <v>81</v>
      </c>
      <c r="G173" t="s">
        <v>44</v>
      </c>
      <c r="H173" t="s">
        <v>26</v>
      </c>
      <c r="I173">
        <v>2</v>
      </c>
      <c r="J173">
        <v>74308.97</v>
      </c>
      <c r="K173">
        <v>0.1</v>
      </c>
      <c r="L173">
        <v>133756.15</v>
      </c>
      <c r="M173">
        <v>121897.25</v>
      </c>
      <c r="N173">
        <v>11858.9</v>
      </c>
      <c r="O173" t="s">
        <v>27</v>
      </c>
      <c r="P173" t="s">
        <v>28</v>
      </c>
      <c r="Q173" t="s">
        <v>40</v>
      </c>
      <c r="R173" t="s">
        <v>306</v>
      </c>
      <c r="S173">
        <v>3</v>
      </c>
      <c r="T173" t="s">
        <v>31</v>
      </c>
      <c r="U173">
        <v>8.8660596166979994E-2</v>
      </c>
    </row>
    <row r="174" spans="1:21">
      <c r="A174">
        <v>34</v>
      </c>
      <c r="B174" s="1">
        <v>45726</v>
      </c>
      <c r="C174" t="s">
        <v>328</v>
      </c>
      <c r="D174" t="s">
        <v>96</v>
      </c>
      <c r="E174" t="s">
        <v>23</v>
      </c>
      <c r="F174" t="s">
        <v>24</v>
      </c>
      <c r="G174" t="s">
        <v>105</v>
      </c>
      <c r="H174" t="s">
        <v>26</v>
      </c>
      <c r="I174">
        <v>1</v>
      </c>
      <c r="J174">
        <v>6353.35</v>
      </c>
      <c r="K174">
        <v>0.15</v>
      </c>
      <c r="L174">
        <v>5400.35</v>
      </c>
      <c r="M174">
        <v>4130.8100000000004</v>
      </c>
      <c r="N174">
        <v>1269.54</v>
      </c>
      <c r="O174" t="s">
        <v>27</v>
      </c>
      <c r="P174" t="s">
        <v>78</v>
      </c>
      <c r="Q174" t="s">
        <v>29</v>
      </c>
      <c r="R174" t="s">
        <v>306</v>
      </c>
      <c r="S174">
        <v>3</v>
      </c>
      <c r="T174" t="s">
        <v>31</v>
      </c>
      <c r="U174">
        <v>0.23508476302461875</v>
      </c>
    </row>
    <row r="175" spans="1:21">
      <c r="A175">
        <v>838</v>
      </c>
      <c r="B175" s="1">
        <v>45726</v>
      </c>
      <c r="C175" t="s">
        <v>329</v>
      </c>
      <c r="D175" t="s">
        <v>330</v>
      </c>
      <c r="E175" t="s">
        <v>76</v>
      </c>
      <c r="F175" t="s">
        <v>81</v>
      </c>
      <c r="G175" t="s">
        <v>25</v>
      </c>
      <c r="H175" t="s">
        <v>26</v>
      </c>
      <c r="I175">
        <v>3</v>
      </c>
      <c r="J175">
        <v>11188.01</v>
      </c>
      <c r="K175">
        <v>0.15</v>
      </c>
      <c r="L175">
        <v>28529.43</v>
      </c>
      <c r="M175">
        <v>26942.25</v>
      </c>
      <c r="N175">
        <v>1587.18</v>
      </c>
      <c r="O175" t="s">
        <v>38</v>
      </c>
      <c r="P175" t="s">
        <v>28</v>
      </c>
      <c r="Q175" t="s">
        <v>40</v>
      </c>
      <c r="R175" t="s">
        <v>306</v>
      </c>
      <c r="S175">
        <v>3</v>
      </c>
      <c r="T175" t="s">
        <v>31</v>
      </c>
      <c r="U175">
        <v>5.5633077842774992E-2</v>
      </c>
    </row>
    <row r="176" spans="1:21">
      <c r="A176">
        <v>462</v>
      </c>
      <c r="B176" s="1">
        <v>45726</v>
      </c>
      <c r="C176" t="s">
        <v>32</v>
      </c>
      <c r="D176" t="s">
        <v>94</v>
      </c>
      <c r="E176" t="s">
        <v>97</v>
      </c>
      <c r="F176" t="s">
        <v>148</v>
      </c>
      <c r="G176" t="s">
        <v>99</v>
      </c>
      <c r="H176" t="s">
        <v>26</v>
      </c>
      <c r="I176">
        <v>4</v>
      </c>
      <c r="J176">
        <v>14585.95</v>
      </c>
      <c r="K176">
        <v>0.05</v>
      </c>
      <c r="L176">
        <v>55426.61</v>
      </c>
      <c r="M176">
        <v>44628.65</v>
      </c>
      <c r="N176">
        <v>10797.96</v>
      </c>
      <c r="O176" t="s">
        <v>27</v>
      </c>
      <c r="P176" t="s">
        <v>45</v>
      </c>
      <c r="Q176" t="s">
        <v>46</v>
      </c>
      <c r="R176" t="s">
        <v>306</v>
      </c>
      <c r="S176">
        <v>3</v>
      </c>
      <c r="T176" t="s">
        <v>31</v>
      </c>
      <c r="U176">
        <v>0.19481545055705191</v>
      </c>
    </row>
    <row r="177" spans="1:21">
      <c r="A177">
        <v>325</v>
      </c>
      <c r="B177" s="1">
        <v>45726</v>
      </c>
      <c r="C177" t="s">
        <v>331</v>
      </c>
      <c r="D177" t="s">
        <v>332</v>
      </c>
      <c r="E177" t="s">
        <v>34</v>
      </c>
      <c r="F177" t="s">
        <v>35</v>
      </c>
      <c r="G177" t="s">
        <v>105</v>
      </c>
      <c r="H177" t="s">
        <v>26</v>
      </c>
      <c r="I177">
        <v>2</v>
      </c>
      <c r="J177">
        <v>6736.05</v>
      </c>
      <c r="K177">
        <v>0.05</v>
      </c>
      <c r="L177">
        <v>12798.49</v>
      </c>
      <c r="M177">
        <v>8739.52</v>
      </c>
      <c r="N177">
        <v>4058.97</v>
      </c>
      <c r="O177" t="s">
        <v>27</v>
      </c>
      <c r="P177" t="s">
        <v>78</v>
      </c>
      <c r="Q177" t="s">
        <v>46</v>
      </c>
      <c r="R177" t="s">
        <v>306</v>
      </c>
      <c r="S177">
        <v>3</v>
      </c>
      <c r="T177" t="s">
        <v>31</v>
      </c>
      <c r="U177">
        <v>0.3171444443836734</v>
      </c>
    </row>
    <row r="178" spans="1:21">
      <c r="A178">
        <v>254</v>
      </c>
      <c r="B178" s="1">
        <v>45727</v>
      </c>
      <c r="C178" t="s">
        <v>117</v>
      </c>
      <c r="D178" t="s">
        <v>333</v>
      </c>
      <c r="E178" t="s">
        <v>97</v>
      </c>
      <c r="F178" t="s">
        <v>104</v>
      </c>
      <c r="G178" t="s">
        <v>105</v>
      </c>
      <c r="H178" t="s">
        <v>26</v>
      </c>
      <c r="I178">
        <v>2</v>
      </c>
      <c r="J178">
        <v>4687.74</v>
      </c>
      <c r="K178">
        <v>0.1</v>
      </c>
      <c r="L178">
        <v>8437.93</v>
      </c>
      <c r="M178">
        <v>7652.28</v>
      </c>
      <c r="N178">
        <v>785.65</v>
      </c>
      <c r="O178" t="s">
        <v>27</v>
      </c>
      <c r="P178" t="s">
        <v>39</v>
      </c>
      <c r="Q178" t="s">
        <v>29</v>
      </c>
      <c r="R178" t="s">
        <v>306</v>
      </c>
      <c r="S178">
        <v>3</v>
      </c>
      <c r="T178" t="s">
        <v>31</v>
      </c>
      <c r="U178">
        <v>9.3109328946791442E-2</v>
      </c>
    </row>
    <row r="179" spans="1:21">
      <c r="A179">
        <v>206</v>
      </c>
      <c r="B179" s="1">
        <v>45727</v>
      </c>
      <c r="C179" t="s">
        <v>162</v>
      </c>
      <c r="D179" t="s">
        <v>334</v>
      </c>
      <c r="E179" t="s">
        <v>34</v>
      </c>
      <c r="F179" t="s">
        <v>35</v>
      </c>
      <c r="G179" t="s">
        <v>25</v>
      </c>
      <c r="H179" t="s">
        <v>26</v>
      </c>
      <c r="I179">
        <v>1</v>
      </c>
      <c r="J179">
        <v>11534.73</v>
      </c>
      <c r="K179">
        <v>0</v>
      </c>
      <c r="L179">
        <v>11534.73</v>
      </c>
      <c r="M179">
        <v>9466.36</v>
      </c>
      <c r="N179">
        <v>2068.37</v>
      </c>
      <c r="O179" t="s">
        <v>27</v>
      </c>
      <c r="P179" t="s">
        <v>39</v>
      </c>
      <c r="Q179" t="s">
        <v>46</v>
      </c>
      <c r="R179" t="s">
        <v>306</v>
      </c>
      <c r="S179">
        <v>3</v>
      </c>
      <c r="T179" t="s">
        <v>31</v>
      </c>
      <c r="U179">
        <v>0.179316724361992</v>
      </c>
    </row>
    <row r="180" spans="1:21">
      <c r="A180">
        <v>949</v>
      </c>
      <c r="B180" s="1">
        <v>45727</v>
      </c>
      <c r="C180" t="s">
        <v>225</v>
      </c>
      <c r="D180" t="s">
        <v>243</v>
      </c>
      <c r="E180" t="s">
        <v>23</v>
      </c>
      <c r="F180" t="s">
        <v>58</v>
      </c>
      <c r="G180" t="s">
        <v>25</v>
      </c>
      <c r="H180" t="s">
        <v>26</v>
      </c>
      <c r="I180">
        <v>2</v>
      </c>
      <c r="J180">
        <v>11904.9</v>
      </c>
      <c r="K180">
        <v>0.1</v>
      </c>
      <c r="L180">
        <v>21428.82</v>
      </c>
      <c r="M180">
        <v>20804.14</v>
      </c>
      <c r="N180">
        <v>624.67999999999995</v>
      </c>
      <c r="O180" t="s">
        <v>27</v>
      </c>
      <c r="P180" t="s">
        <v>71</v>
      </c>
      <c r="Q180" t="s">
        <v>46</v>
      </c>
      <c r="R180" t="s">
        <v>306</v>
      </c>
      <c r="S180">
        <v>3</v>
      </c>
      <c r="T180" t="s">
        <v>31</v>
      </c>
      <c r="U180">
        <v>2.9151395177149278E-2</v>
      </c>
    </row>
    <row r="181" spans="1:21">
      <c r="A181">
        <v>475</v>
      </c>
      <c r="B181" s="1">
        <v>45727</v>
      </c>
      <c r="C181" t="s">
        <v>283</v>
      </c>
      <c r="D181" t="s">
        <v>335</v>
      </c>
      <c r="E181" t="s">
        <v>97</v>
      </c>
      <c r="F181" t="s">
        <v>104</v>
      </c>
      <c r="G181" t="s">
        <v>134</v>
      </c>
      <c r="H181" t="s">
        <v>26</v>
      </c>
      <c r="I181">
        <v>3</v>
      </c>
      <c r="J181">
        <v>33087.79</v>
      </c>
      <c r="K181">
        <v>0.02</v>
      </c>
      <c r="L181">
        <v>97278.1</v>
      </c>
      <c r="M181">
        <v>62761.36</v>
      </c>
      <c r="N181">
        <v>34516.74</v>
      </c>
      <c r="O181" t="s">
        <v>27</v>
      </c>
      <c r="P181" t="s">
        <v>78</v>
      </c>
      <c r="Q181" t="s">
        <v>46</v>
      </c>
      <c r="R181" t="s">
        <v>306</v>
      </c>
      <c r="S181">
        <v>3</v>
      </c>
      <c r="T181" t="s">
        <v>31</v>
      </c>
      <c r="U181">
        <v>0.354825392354497</v>
      </c>
    </row>
    <row r="182" spans="1:21">
      <c r="A182">
        <v>383</v>
      </c>
      <c r="B182" s="1">
        <v>45727</v>
      </c>
      <c r="C182" t="s">
        <v>336</v>
      </c>
      <c r="D182" t="s">
        <v>247</v>
      </c>
      <c r="E182" t="s">
        <v>54</v>
      </c>
      <c r="F182" t="s">
        <v>108</v>
      </c>
      <c r="G182" t="s">
        <v>66</v>
      </c>
      <c r="H182" t="s">
        <v>51</v>
      </c>
      <c r="I182">
        <v>2</v>
      </c>
      <c r="J182">
        <v>1679.85</v>
      </c>
      <c r="K182">
        <v>0</v>
      </c>
      <c r="L182">
        <v>3359.7</v>
      </c>
      <c r="M182">
        <v>2226.63</v>
      </c>
      <c r="N182">
        <v>1133.07</v>
      </c>
      <c r="O182" t="s">
        <v>27</v>
      </c>
      <c r="P182" t="s">
        <v>78</v>
      </c>
      <c r="Q182" t="s">
        <v>46</v>
      </c>
      <c r="R182" t="s">
        <v>306</v>
      </c>
      <c r="S182">
        <v>3</v>
      </c>
      <c r="T182" t="s">
        <v>31</v>
      </c>
      <c r="U182">
        <v>0.33725332618983839</v>
      </c>
    </row>
    <row r="183" spans="1:21">
      <c r="A183">
        <v>785</v>
      </c>
      <c r="B183" s="1">
        <v>45727</v>
      </c>
      <c r="C183" t="s">
        <v>84</v>
      </c>
      <c r="D183" t="s">
        <v>337</v>
      </c>
      <c r="E183" t="s">
        <v>54</v>
      </c>
      <c r="F183" t="s">
        <v>108</v>
      </c>
      <c r="G183" t="s">
        <v>145</v>
      </c>
      <c r="H183" t="s">
        <v>70</v>
      </c>
      <c r="I183">
        <v>4</v>
      </c>
      <c r="J183">
        <v>1489.17</v>
      </c>
      <c r="K183">
        <v>0.15</v>
      </c>
      <c r="L183">
        <v>5063.18</v>
      </c>
      <c r="M183">
        <v>3917.06</v>
      </c>
      <c r="N183">
        <v>1146.1199999999999</v>
      </c>
      <c r="O183" t="s">
        <v>38</v>
      </c>
      <c r="P183" t="s">
        <v>39</v>
      </c>
      <c r="Q183" t="s">
        <v>40</v>
      </c>
      <c r="R183" t="s">
        <v>306</v>
      </c>
      <c r="S183">
        <v>3</v>
      </c>
      <c r="T183" t="s">
        <v>31</v>
      </c>
      <c r="U183">
        <v>0.22636366868252755</v>
      </c>
    </row>
    <row r="184" spans="1:21">
      <c r="A184">
        <v>830</v>
      </c>
      <c r="B184" s="1">
        <v>45727</v>
      </c>
      <c r="C184" t="s">
        <v>338</v>
      </c>
      <c r="D184" t="s">
        <v>290</v>
      </c>
      <c r="E184" t="s">
        <v>54</v>
      </c>
      <c r="F184" t="s">
        <v>55</v>
      </c>
      <c r="G184" t="s">
        <v>36</v>
      </c>
      <c r="H184" t="s">
        <v>37</v>
      </c>
      <c r="I184">
        <v>1</v>
      </c>
      <c r="J184">
        <v>12478.6</v>
      </c>
      <c r="K184">
        <v>0.02</v>
      </c>
      <c r="L184">
        <v>12229.03</v>
      </c>
      <c r="M184">
        <v>10559.16</v>
      </c>
      <c r="N184">
        <v>1669.87</v>
      </c>
      <c r="O184" t="s">
        <v>38</v>
      </c>
      <c r="P184" t="s">
        <v>71</v>
      </c>
      <c r="Q184" t="s">
        <v>46</v>
      </c>
      <c r="R184" t="s">
        <v>306</v>
      </c>
      <c r="S184">
        <v>3</v>
      </c>
      <c r="T184" t="s">
        <v>31</v>
      </c>
      <c r="U184">
        <v>0.13654966910703464</v>
      </c>
    </row>
    <row r="185" spans="1:21">
      <c r="A185">
        <v>205</v>
      </c>
      <c r="B185" s="1">
        <v>45727</v>
      </c>
      <c r="C185" t="s">
        <v>74</v>
      </c>
      <c r="D185" t="s">
        <v>339</v>
      </c>
      <c r="E185" t="s">
        <v>23</v>
      </c>
      <c r="F185" t="s">
        <v>43</v>
      </c>
      <c r="G185" t="s">
        <v>62</v>
      </c>
      <c r="H185" t="s">
        <v>63</v>
      </c>
      <c r="I185">
        <v>1</v>
      </c>
      <c r="J185">
        <v>331.88</v>
      </c>
      <c r="K185">
        <v>0.02</v>
      </c>
      <c r="L185">
        <v>325.24</v>
      </c>
      <c r="M185">
        <v>278.66000000000003</v>
      </c>
      <c r="N185">
        <v>46.58</v>
      </c>
      <c r="O185" t="s">
        <v>27</v>
      </c>
      <c r="P185" t="s">
        <v>39</v>
      </c>
      <c r="Q185" t="s">
        <v>40</v>
      </c>
      <c r="R185" t="s">
        <v>306</v>
      </c>
      <c r="S185">
        <v>3</v>
      </c>
      <c r="T185" t="s">
        <v>31</v>
      </c>
      <c r="U185">
        <v>0.1432173164432419</v>
      </c>
    </row>
    <row r="186" spans="1:21">
      <c r="A186">
        <v>851</v>
      </c>
      <c r="B186" s="1">
        <v>45728</v>
      </c>
      <c r="C186" t="s">
        <v>123</v>
      </c>
      <c r="D186" t="s">
        <v>340</v>
      </c>
      <c r="E186" t="s">
        <v>76</v>
      </c>
      <c r="F186" t="s">
        <v>113</v>
      </c>
      <c r="G186" t="s">
        <v>99</v>
      </c>
      <c r="H186" t="s">
        <v>26</v>
      </c>
      <c r="I186">
        <v>3</v>
      </c>
      <c r="J186">
        <v>25035.82</v>
      </c>
      <c r="K186">
        <v>0</v>
      </c>
      <c r="L186">
        <v>75107.460000000006</v>
      </c>
      <c r="M186">
        <v>61991.05</v>
      </c>
      <c r="N186">
        <v>13116.41</v>
      </c>
      <c r="O186" t="s">
        <v>38</v>
      </c>
      <c r="P186" t="s">
        <v>78</v>
      </c>
      <c r="Q186" t="s">
        <v>46</v>
      </c>
      <c r="R186" t="s">
        <v>306</v>
      </c>
      <c r="S186">
        <v>3</v>
      </c>
      <c r="T186" t="s">
        <v>31</v>
      </c>
      <c r="U186">
        <v>0.17463524928149612</v>
      </c>
    </row>
    <row r="187" spans="1:21">
      <c r="A187">
        <v>598</v>
      </c>
      <c r="B187" s="1">
        <v>45729</v>
      </c>
      <c r="C187" t="s">
        <v>341</v>
      </c>
      <c r="D187" t="s">
        <v>230</v>
      </c>
      <c r="E187" t="s">
        <v>76</v>
      </c>
      <c r="F187" t="s">
        <v>81</v>
      </c>
      <c r="G187" t="s">
        <v>44</v>
      </c>
      <c r="H187" t="s">
        <v>26</v>
      </c>
      <c r="I187">
        <v>4</v>
      </c>
      <c r="J187">
        <v>59660.38</v>
      </c>
      <c r="K187">
        <v>0.02</v>
      </c>
      <c r="L187">
        <v>233868.69</v>
      </c>
      <c r="M187">
        <v>158994.88</v>
      </c>
      <c r="N187">
        <v>74873.81</v>
      </c>
      <c r="O187" t="s">
        <v>27</v>
      </c>
      <c r="P187" t="s">
        <v>71</v>
      </c>
      <c r="Q187" t="s">
        <v>29</v>
      </c>
      <c r="R187" t="s">
        <v>306</v>
      </c>
      <c r="S187">
        <v>3</v>
      </c>
      <c r="T187" t="s">
        <v>31</v>
      </c>
      <c r="U187">
        <v>0.32015320220932525</v>
      </c>
    </row>
    <row r="188" spans="1:21">
      <c r="A188">
        <v>374</v>
      </c>
      <c r="B188" s="1">
        <v>45729</v>
      </c>
      <c r="C188" t="s">
        <v>191</v>
      </c>
      <c r="D188" t="s">
        <v>133</v>
      </c>
      <c r="E188" t="s">
        <v>34</v>
      </c>
      <c r="F188" t="s">
        <v>86</v>
      </c>
      <c r="G188" t="s">
        <v>62</v>
      </c>
      <c r="H188" t="s">
        <v>63</v>
      </c>
      <c r="I188">
        <v>3</v>
      </c>
      <c r="J188">
        <v>311.87</v>
      </c>
      <c r="K188">
        <v>0</v>
      </c>
      <c r="L188">
        <v>935.61</v>
      </c>
      <c r="M188">
        <v>728.06</v>
      </c>
      <c r="N188">
        <v>207.55</v>
      </c>
      <c r="O188" t="s">
        <v>27</v>
      </c>
      <c r="P188" t="s">
        <v>28</v>
      </c>
      <c r="Q188" t="s">
        <v>46</v>
      </c>
      <c r="R188" t="s">
        <v>306</v>
      </c>
      <c r="S188">
        <v>3</v>
      </c>
      <c r="T188" t="s">
        <v>31</v>
      </c>
      <c r="U188">
        <v>0.22183388377635982</v>
      </c>
    </row>
    <row r="189" spans="1:21">
      <c r="A189">
        <v>57</v>
      </c>
      <c r="B189" s="1">
        <v>45729</v>
      </c>
      <c r="C189" t="s">
        <v>173</v>
      </c>
      <c r="D189" t="s">
        <v>136</v>
      </c>
      <c r="E189" t="s">
        <v>76</v>
      </c>
      <c r="F189" t="s">
        <v>113</v>
      </c>
      <c r="G189" t="s">
        <v>99</v>
      </c>
      <c r="H189" t="s">
        <v>26</v>
      </c>
      <c r="I189">
        <v>1</v>
      </c>
      <c r="J189">
        <v>13801.5</v>
      </c>
      <c r="K189">
        <v>0.02</v>
      </c>
      <c r="L189">
        <v>13525.47</v>
      </c>
      <c r="M189">
        <v>9842.16</v>
      </c>
      <c r="N189">
        <v>3683.31</v>
      </c>
      <c r="O189" t="s">
        <v>27</v>
      </c>
      <c r="P189" t="s">
        <v>45</v>
      </c>
      <c r="Q189" t="s">
        <v>40</v>
      </c>
      <c r="R189" t="s">
        <v>306</v>
      </c>
      <c r="S189">
        <v>3</v>
      </c>
      <c r="T189" t="s">
        <v>31</v>
      </c>
      <c r="U189">
        <v>0.27232399317731659</v>
      </c>
    </row>
    <row r="190" spans="1:21">
      <c r="A190">
        <v>729</v>
      </c>
      <c r="B190" s="1">
        <v>45730</v>
      </c>
      <c r="C190" t="s">
        <v>342</v>
      </c>
      <c r="D190" t="s">
        <v>242</v>
      </c>
      <c r="E190" t="s">
        <v>76</v>
      </c>
      <c r="F190" t="s">
        <v>77</v>
      </c>
      <c r="G190" t="s">
        <v>145</v>
      </c>
      <c r="H190" t="s">
        <v>70</v>
      </c>
      <c r="I190">
        <v>2</v>
      </c>
      <c r="J190">
        <v>1198.5899999999999</v>
      </c>
      <c r="K190">
        <v>0.15</v>
      </c>
      <c r="L190">
        <v>2037.6</v>
      </c>
      <c r="M190">
        <v>1922.11</v>
      </c>
      <c r="N190">
        <v>115.49</v>
      </c>
      <c r="O190" t="s">
        <v>38</v>
      </c>
      <c r="P190" t="s">
        <v>78</v>
      </c>
      <c r="Q190" t="s">
        <v>40</v>
      </c>
      <c r="R190" t="s">
        <v>306</v>
      </c>
      <c r="S190">
        <v>3</v>
      </c>
      <c r="T190" t="s">
        <v>31</v>
      </c>
      <c r="U190">
        <v>5.6679426776599921E-2</v>
      </c>
    </row>
    <row r="191" spans="1:21">
      <c r="A191">
        <v>416</v>
      </c>
      <c r="B191" s="1">
        <v>45730</v>
      </c>
      <c r="C191" t="s">
        <v>343</v>
      </c>
      <c r="D191" t="s">
        <v>344</v>
      </c>
      <c r="E191" t="s">
        <v>23</v>
      </c>
      <c r="F191" t="s">
        <v>43</v>
      </c>
      <c r="G191" t="s">
        <v>25</v>
      </c>
      <c r="H191" t="s">
        <v>26</v>
      </c>
      <c r="I191">
        <v>1</v>
      </c>
      <c r="J191">
        <v>21950.55</v>
      </c>
      <c r="K191">
        <v>0</v>
      </c>
      <c r="L191">
        <v>21950.55</v>
      </c>
      <c r="M191">
        <v>18910.48</v>
      </c>
      <c r="N191">
        <v>3040.07</v>
      </c>
      <c r="O191" t="s">
        <v>27</v>
      </c>
      <c r="P191" t="s">
        <v>28</v>
      </c>
      <c r="Q191" t="s">
        <v>40</v>
      </c>
      <c r="R191" t="s">
        <v>306</v>
      </c>
      <c r="S191">
        <v>3</v>
      </c>
      <c r="T191" t="s">
        <v>31</v>
      </c>
      <c r="U191">
        <v>0.13849630191498619</v>
      </c>
    </row>
    <row r="192" spans="1:21">
      <c r="A192">
        <v>242</v>
      </c>
      <c r="B192" s="1">
        <v>45730</v>
      </c>
      <c r="C192" t="s">
        <v>116</v>
      </c>
      <c r="D192" t="s">
        <v>269</v>
      </c>
      <c r="E192" t="s">
        <v>97</v>
      </c>
      <c r="F192" t="s">
        <v>148</v>
      </c>
      <c r="G192" t="s">
        <v>62</v>
      </c>
      <c r="H192" t="s">
        <v>63</v>
      </c>
      <c r="I192">
        <v>1</v>
      </c>
      <c r="J192">
        <v>203.97</v>
      </c>
      <c r="K192">
        <v>0.02</v>
      </c>
      <c r="L192">
        <v>199.89</v>
      </c>
      <c r="M192">
        <v>147.88</v>
      </c>
      <c r="N192">
        <v>52.01</v>
      </c>
      <c r="O192" t="s">
        <v>27</v>
      </c>
      <c r="P192" t="s">
        <v>78</v>
      </c>
      <c r="Q192" t="s">
        <v>40</v>
      </c>
      <c r="R192" t="s">
        <v>306</v>
      </c>
      <c r="S192">
        <v>3</v>
      </c>
      <c r="T192" t="s">
        <v>31</v>
      </c>
      <c r="U192">
        <v>0.26019310620841463</v>
      </c>
    </row>
    <row r="193" spans="1:21">
      <c r="A193">
        <v>317</v>
      </c>
      <c r="B193" s="1">
        <v>45730</v>
      </c>
      <c r="C193" t="s">
        <v>345</v>
      </c>
      <c r="D193" t="s">
        <v>124</v>
      </c>
      <c r="E193" t="s">
        <v>76</v>
      </c>
      <c r="F193" t="s">
        <v>81</v>
      </c>
      <c r="G193" t="s">
        <v>25</v>
      </c>
      <c r="H193" t="s">
        <v>26</v>
      </c>
      <c r="I193">
        <v>4</v>
      </c>
      <c r="J193">
        <v>12944.34</v>
      </c>
      <c r="K193">
        <v>0.1</v>
      </c>
      <c r="L193">
        <v>46599.62</v>
      </c>
      <c r="M193">
        <v>37949.949999999997</v>
      </c>
      <c r="N193">
        <v>8649.67</v>
      </c>
      <c r="O193" t="s">
        <v>38</v>
      </c>
      <c r="P193" t="s">
        <v>28</v>
      </c>
      <c r="Q193" t="s">
        <v>29</v>
      </c>
      <c r="R193" t="s">
        <v>306</v>
      </c>
      <c r="S193">
        <v>3</v>
      </c>
      <c r="T193" t="s">
        <v>31</v>
      </c>
      <c r="U193">
        <v>0.18561674966448224</v>
      </c>
    </row>
    <row r="194" spans="1:21">
      <c r="A194">
        <v>574</v>
      </c>
      <c r="B194" s="1">
        <v>45730</v>
      </c>
      <c r="C194" t="s">
        <v>346</v>
      </c>
      <c r="D194" t="s">
        <v>347</v>
      </c>
      <c r="E194" t="s">
        <v>97</v>
      </c>
      <c r="F194" t="s">
        <v>98</v>
      </c>
      <c r="G194" t="s">
        <v>145</v>
      </c>
      <c r="H194" t="s">
        <v>70</v>
      </c>
      <c r="I194">
        <v>3</v>
      </c>
      <c r="J194">
        <v>583.30999999999995</v>
      </c>
      <c r="K194">
        <v>0.15</v>
      </c>
      <c r="L194">
        <v>1487.44</v>
      </c>
      <c r="M194">
        <v>1233.6199999999999</v>
      </c>
      <c r="N194">
        <v>253.82</v>
      </c>
      <c r="O194" t="s">
        <v>27</v>
      </c>
      <c r="P194" t="s">
        <v>71</v>
      </c>
      <c r="Q194" t="s">
        <v>40</v>
      </c>
      <c r="R194" t="s">
        <v>306</v>
      </c>
      <c r="S194">
        <v>3</v>
      </c>
      <c r="T194" t="s">
        <v>31</v>
      </c>
      <c r="U194">
        <v>0.17064217716344859</v>
      </c>
    </row>
    <row r="195" spans="1:21">
      <c r="A195">
        <v>826</v>
      </c>
      <c r="B195" s="1">
        <v>45730</v>
      </c>
      <c r="C195" t="s">
        <v>348</v>
      </c>
      <c r="D195" t="s">
        <v>330</v>
      </c>
      <c r="E195" t="s">
        <v>23</v>
      </c>
      <c r="F195" t="s">
        <v>24</v>
      </c>
      <c r="G195" t="s">
        <v>44</v>
      </c>
      <c r="H195" t="s">
        <v>26</v>
      </c>
      <c r="I195">
        <v>2</v>
      </c>
      <c r="J195">
        <v>64654.57</v>
      </c>
      <c r="K195">
        <v>0.05</v>
      </c>
      <c r="L195">
        <v>122843.68</v>
      </c>
      <c r="M195">
        <v>105060.93</v>
      </c>
      <c r="N195">
        <v>17782.75</v>
      </c>
      <c r="O195" t="s">
        <v>38</v>
      </c>
      <c r="P195" t="s">
        <v>71</v>
      </c>
      <c r="Q195" t="s">
        <v>29</v>
      </c>
      <c r="R195" t="s">
        <v>306</v>
      </c>
      <c r="S195">
        <v>3</v>
      </c>
      <c r="T195" t="s">
        <v>31</v>
      </c>
      <c r="U195">
        <v>0.14475917686607892</v>
      </c>
    </row>
    <row r="196" spans="1:21">
      <c r="A196">
        <v>580</v>
      </c>
      <c r="B196" s="1">
        <v>45732</v>
      </c>
      <c r="C196" t="s">
        <v>349</v>
      </c>
      <c r="D196" t="s">
        <v>48</v>
      </c>
      <c r="E196" t="s">
        <v>23</v>
      </c>
      <c r="F196" t="s">
        <v>58</v>
      </c>
      <c r="G196" t="s">
        <v>66</v>
      </c>
      <c r="H196" t="s">
        <v>51</v>
      </c>
      <c r="I196">
        <v>1</v>
      </c>
      <c r="J196">
        <v>1704.6</v>
      </c>
      <c r="K196">
        <v>0.15</v>
      </c>
      <c r="L196">
        <v>1448.91</v>
      </c>
      <c r="M196">
        <v>1236.56</v>
      </c>
      <c r="N196">
        <v>212.35</v>
      </c>
      <c r="O196" t="s">
        <v>27</v>
      </c>
      <c r="P196" t="s">
        <v>45</v>
      </c>
      <c r="Q196" t="s">
        <v>46</v>
      </c>
      <c r="R196" t="s">
        <v>306</v>
      </c>
      <c r="S196">
        <v>3</v>
      </c>
      <c r="T196" t="s">
        <v>31</v>
      </c>
      <c r="U196">
        <v>0.14655844738458565</v>
      </c>
    </row>
    <row r="197" spans="1:21">
      <c r="A197">
        <v>409</v>
      </c>
      <c r="B197" s="1">
        <v>45732</v>
      </c>
      <c r="C197" t="s">
        <v>350</v>
      </c>
      <c r="D197" t="s">
        <v>259</v>
      </c>
      <c r="E197" t="s">
        <v>97</v>
      </c>
      <c r="F197" t="s">
        <v>98</v>
      </c>
      <c r="G197" t="s">
        <v>99</v>
      </c>
      <c r="H197" t="s">
        <v>26</v>
      </c>
      <c r="I197">
        <v>2</v>
      </c>
      <c r="J197">
        <v>11217.42</v>
      </c>
      <c r="K197">
        <v>0.1</v>
      </c>
      <c r="L197">
        <v>20191.36</v>
      </c>
      <c r="M197">
        <v>17738.34</v>
      </c>
      <c r="N197">
        <v>2453.02</v>
      </c>
      <c r="O197" t="s">
        <v>27</v>
      </c>
      <c r="P197" t="s">
        <v>78</v>
      </c>
      <c r="Q197" t="s">
        <v>29</v>
      </c>
      <c r="R197" t="s">
        <v>306</v>
      </c>
      <c r="S197">
        <v>3</v>
      </c>
      <c r="T197" t="s">
        <v>31</v>
      </c>
      <c r="U197">
        <v>0.12148859710291926</v>
      </c>
    </row>
    <row r="198" spans="1:21">
      <c r="A198">
        <v>501</v>
      </c>
      <c r="B198" s="1">
        <v>45733</v>
      </c>
      <c r="C198" t="s">
        <v>351</v>
      </c>
      <c r="D198" t="s">
        <v>242</v>
      </c>
      <c r="E198" t="s">
        <v>34</v>
      </c>
      <c r="F198" t="s">
        <v>86</v>
      </c>
      <c r="G198" t="s">
        <v>105</v>
      </c>
      <c r="H198" t="s">
        <v>26</v>
      </c>
      <c r="I198">
        <v>1</v>
      </c>
      <c r="J198">
        <v>3591.22</v>
      </c>
      <c r="K198">
        <v>0.05</v>
      </c>
      <c r="L198">
        <v>3411.66</v>
      </c>
      <c r="M198">
        <v>2757.8</v>
      </c>
      <c r="N198">
        <v>653.86</v>
      </c>
      <c r="O198" t="s">
        <v>38</v>
      </c>
      <c r="P198" t="s">
        <v>39</v>
      </c>
      <c r="Q198" t="s">
        <v>46</v>
      </c>
      <c r="R198" t="s">
        <v>306</v>
      </c>
      <c r="S198">
        <v>3</v>
      </c>
      <c r="T198" t="s">
        <v>31</v>
      </c>
      <c r="U198">
        <v>0.19165450250024915</v>
      </c>
    </row>
    <row r="199" spans="1:21">
      <c r="A199">
        <v>864</v>
      </c>
      <c r="B199" s="1">
        <v>45733</v>
      </c>
      <c r="C199" t="s">
        <v>303</v>
      </c>
      <c r="D199" t="s">
        <v>352</v>
      </c>
      <c r="E199" t="s">
        <v>54</v>
      </c>
      <c r="F199" t="s">
        <v>127</v>
      </c>
      <c r="G199" t="s">
        <v>50</v>
      </c>
      <c r="H199" t="s">
        <v>51</v>
      </c>
      <c r="I199">
        <v>4</v>
      </c>
      <c r="J199">
        <v>1218.92</v>
      </c>
      <c r="K199">
        <v>0.15</v>
      </c>
      <c r="L199">
        <v>4144.33</v>
      </c>
      <c r="M199">
        <v>3045.79</v>
      </c>
      <c r="N199">
        <v>1098.54</v>
      </c>
      <c r="O199" t="s">
        <v>27</v>
      </c>
      <c r="P199" t="s">
        <v>28</v>
      </c>
      <c r="Q199" t="s">
        <v>29</v>
      </c>
      <c r="R199" t="s">
        <v>306</v>
      </c>
      <c r="S199">
        <v>3</v>
      </c>
      <c r="T199" t="s">
        <v>31</v>
      </c>
      <c r="U199">
        <v>0.26507059042112957</v>
      </c>
    </row>
    <row r="200" spans="1:21">
      <c r="A200">
        <v>781</v>
      </c>
      <c r="B200" s="1">
        <v>45734</v>
      </c>
      <c r="C200" t="s">
        <v>353</v>
      </c>
      <c r="D200" t="s">
        <v>354</v>
      </c>
      <c r="E200" t="s">
        <v>23</v>
      </c>
      <c r="F200" t="s">
        <v>24</v>
      </c>
      <c r="G200" t="s">
        <v>36</v>
      </c>
      <c r="H200" t="s">
        <v>37</v>
      </c>
      <c r="I200">
        <v>1</v>
      </c>
      <c r="J200">
        <v>10151.26</v>
      </c>
      <c r="K200">
        <v>0</v>
      </c>
      <c r="L200">
        <v>10151.26</v>
      </c>
      <c r="M200">
        <v>8839.92</v>
      </c>
      <c r="N200">
        <v>1311.34</v>
      </c>
      <c r="O200" t="s">
        <v>38</v>
      </c>
      <c r="P200" t="s">
        <v>78</v>
      </c>
      <c r="Q200" t="s">
        <v>46</v>
      </c>
      <c r="R200" t="s">
        <v>306</v>
      </c>
      <c r="S200">
        <v>3</v>
      </c>
      <c r="T200" t="s">
        <v>31</v>
      </c>
      <c r="U200">
        <v>0.12918002297251768</v>
      </c>
    </row>
    <row r="201" spans="1:21">
      <c r="A201">
        <v>783</v>
      </c>
      <c r="B201" s="1">
        <v>45734</v>
      </c>
      <c r="C201" t="s">
        <v>355</v>
      </c>
      <c r="D201" t="s">
        <v>356</v>
      </c>
      <c r="E201" t="s">
        <v>97</v>
      </c>
      <c r="F201" t="s">
        <v>98</v>
      </c>
      <c r="G201" t="s">
        <v>50</v>
      </c>
      <c r="H201" t="s">
        <v>51</v>
      </c>
      <c r="I201">
        <v>1</v>
      </c>
      <c r="J201">
        <v>797.32</v>
      </c>
      <c r="K201">
        <v>0.1</v>
      </c>
      <c r="L201">
        <v>717.59</v>
      </c>
      <c r="M201">
        <v>549.20000000000005</v>
      </c>
      <c r="N201">
        <v>168.39</v>
      </c>
      <c r="O201" t="s">
        <v>38</v>
      </c>
      <c r="P201" t="s">
        <v>39</v>
      </c>
      <c r="Q201" t="s">
        <v>46</v>
      </c>
      <c r="R201" t="s">
        <v>306</v>
      </c>
      <c r="S201">
        <v>3</v>
      </c>
      <c r="T201" t="s">
        <v>31</v>
      </c>
      <c r="U201">
        <v>0.23466046070876123</v>
      </c>
    </row>
    <row r="202" spans="1:21">
      <c r="A202">
        <v>728</v>
      </c>
      <c r="B202" s="1">
        <v>45735</v>
      </c>
      <c r="C202" t="s">
        <v>246</v>
      </c>
      <c r="D202" t="s">
        <v>194</v>
      </c>
      <c r="E202" t="s">
        <v>97</v>
      </c>
      <c r="F202" t="s">
        <v>104</v>
      </c>
      <c r="G202" t="s">
        <v>44</v>
      </c>
      <c r="H202" t="s">
        <v>26</v>
      </c>
      <c r="I202">
        <v>2</v>
      </c>
      <c r="J202">
        <v>59785.18</v>
      </c>
      <c r="K202">
        <v>0.02</v>
      </c>
      <c r="L202">
        <v>117178.95</v>
      </c>
      <c r="M202">
        <v>82538.3</v>
      </c>
      <c r="N202">
        <v>34640.65</v>
      </c>
      <c r="O202" t="s">
        <v>27</v>
      </c>
      <c r="P202" t="s">
        <v>78</v>
      </c>
      <c r="Q202" t="s">
        <v>29</v>
      </c>
      <c r="R202" t="s">
        <v>306</v>
      </c>
      <c r="S202">
        <v>3</v>
      </c>
      <c r="T202" t="s">
        <v>31</v>
      </c>
      <c r="U202">
        <v>0.29562178189854066</v>
      </c>
    </row>
    <row r="203" spans="1:21">
      <c r="A203">
        <v>969</v>
      </c>
      <c r="B203" s="1">
        <v>45735</v>
      </c>
      <c r="C203" t="s">
        <v>357</v>
      </c>
      <c r="D203" t="s">
        <v>358</v>
      </c>
      <c r="E203" t="s">
        <v>54</v>
      </c>
      <c r="F203" t="s">
        <v>127</v>
      </c>
      <c r="G203" t="s">
        <v>105</v>
      </c>
      <c r="H203" t="s">
        <v>26</v>
      </c>
      <c r="I203">
        <v>1</v>
      </c>
      <c r="J203">
        <v>2734.72</v>
      </c>
      <c r="K203">
        <v>0.05</v>
      </c>
      <c r="L203">
        <v>2597.98</v>
      </c>
      <c r="M203">
        <v>2125.0700000000002</v>
      </c>
      <c r="N203">
        <v>472.91</v>
      </c>
      <c r="O203" t="s">
        <v>38</v>
      </c>
      <c r="P203" t="s">
        <v>39</v>
      </c>
      <c r="Q203" t="s">
        <v>29</v>
      </c>
      <c r="R203" t="s">
        <v>306</v>
      </c>
      <c r="S203">
        <v>3</v>
      </c>
      <c r="T203" t="s">
        <v>31</v>
      </c>
      <c r="U203">
        <v>0.1820298847566186</v>
      </c>
    </row>
    <row r="204" spans="1:21">
      <c r="A204">
        <v>527</v>
      </c>
      <c r="B204" s="1">
        <v>45735</v>
      </c>
      <c r="C204" t="s">
        <v>359</v>
      </c>
      <c r="D204" t="s">
        <v>255</v>
      </c>
      <c r="E204" t="s">
        <v>34</v>
      </c>
      <c r="F204" t="s">
        <v>49</v>
      </c>
      <c r="G204" t="s">
        <v>134</v>
      </c>
      <c r="H204" t="s">
        <v>26</v>
      </c>
      <c r="I204">
        <v>1</v>
      </c>
      <c r="J204">
        <v>45802.66</v>
      </c>
      <c r="K204">
        <v>0.15</v>
      </c>
      <c r="L204">
        <v>38932.26</v>
      </c>
      <c r="M204">
        <v>36455.279999999999</v>
      </c>
      <c r="N204">
        <v>2476.98</v>
      </c>
      <c r="O204" t="s">
        <v>27</v>
      </c>
      <c r="P204" t="s">
        <v>78</v>
      </c>
      <c r="Q204" t="s">
        <v>29</v>
      </c>
      <c r="R204" t="s">
        <v>306</v>
      </c>
      <c r="S204">
        <v>3</v>
      </c>
      <c r="T204" t="s">
        <v>31</v>
      </c>
      <c r="U204">
        <v>6.362281562899251E-2</v>
      </c>
    </row>
    <row r="205" spans="1:21">
      <c r="A205">
        <v>314</v>
      </c>
      <c r="B205" s="1">
        <v>45736</v>
      </c>
      <c r="C205" t="s">
        <v>360</v>
      </c>
      <c r="D205" t="s">
        <v>361</v>
      </c>
      <c r="E205" t="s">
        <v>54</v>
      </c>
      <c r="F205" t="s">
        <v>108</v>
      </c>
      <c r="G205" t="s">
        <v>99</v>
      </c>
      <c r="H205" t="s">
        <v>26</v>
      </c>
      <c r="I205">
        <v>1</v>
      </c>
      <c r="J205">
        <v>28881.41</v>
      </c>
      <c r="K205">
        <v>0</v>
      </c>
      <c r="L205">
        <v>28881.41</v>
      </c>
      <c r="M205">
        <v>19069.11</v>
      </c>
      <c r="N205">
        <v>9812.2999999999993</v>
      </c>
      <c r="O205" t="s">
        <v>38</v>
      </c>
      <c r="P205" t="s">
        <v>39</v>
      </c>
      <c r="Q205" t="s">
        <v>40</v>
      </c>
      <c r="R205" t="s">
        <v>306</v>
      </c>
      <c r="S205">
        <v>3</v>
      </c>
      <c r="T205" t="s">
        <v>31</v>
      </c>
      <c r="U205">
        <v>0.33974449308395954</v>
      </c>
    </row>
    <row r="206" spans="1:21">
      <c r="A206">
        <v>492</v>
      </c>
      <c r="B206" s="1">
        <v>45736</v>
      </c>
      <c r="C206" t="s">
        <v>119</v>
      </c>
      <c r="D206" t="s">
        <v>42</v>
      </c>
      <c r="E206" t="s">
        <v>76</v>
      </c>
      <c r="F206" t="s">
        <v>113</v>
      </c>
      <c r="G206" t="s">
        <v>134</v>
      </c>
      <c r="H206" t="s">
        <v>26</v>
      </c>
      <c r="I206">
        <v>1</v>
      </c>
      <c r="J206">
        <v>46250.09</v>
      </c>
      <c r="K206">
        <v>0.15</v>
      </c>
      <c r="L206">
        <v>39312.58</v>
      </c>
      <c r="M206">
        <v>32794.720000000001</v>
      </c>
      <c r="N206">
        <v>6517.86</v>
      </c>
      <c r="O206" t="s">
        <v>38</v>
      </c>
      <c r="P206" t="s">
        <v>28</v>
      </c>
      <c r="Q206" t="s">
        <v>29</v>
      </c>
      <c r="R206" t="s">
        <v>306</v>
      </c>
      <c r="S206">
        <v>3</v>
      </c>
      <c r="T206" t="s">
        <v>31</v>
      </c>
      <c r="U206">
        <v>0.16579578343624354</v>
      </c>
    </row>
    <row r="207" spans="1:21">
      <c r="A207">
        <v>125</v>
      </c>
      <c r="B207" s="1">
        <v>45736</v>
      </c>
      <c r="C207" t="s">
        <v>208</v>
      </c>
      <c r="D207" t="s">
        <v>362</v>
      </c>
      <c r="E207" t="s">
        <v>23</v>
      </c>
      <c r="F207" t="s">
        <v>58</v>
      </c>
      <c r="G207" t="s">
        <v>62</v>
      </c>
      <c r="H207" t="s">
        <v>63</v>
      </c>
      <c r="I207">
        <v>1</v>
      </c>
      <c r="J207">
        <v>87.87</v>
      </c>
      <c r="K207">
        <v>0</v>
      </c>
      <c r="L207">
        <v>87.87</v>
      </c>
      <c r="M207">
        <v>61.87</v>
      </c>
      <c r="N207">
        <v>26</v>
      </c>
      <c r="O207" t="s">
        <v>27</v>
      </c>
      <c r="P207" t="s">
        <v>45</v>
      </c>
      <c r="Q207" t="s">
        <v>29</v>
      </c>
      <c r="R207" t="s">
        <v>306</v>
      </c>
      <c r="S207">
        <v>3</v>
      </c>
      <c r="T207" t="s">
        <v>31</v>
      </c>
      <c r="U207">
        <v>0.29589165813133034</v>
      </c>
    </row>
    <row r="208" spans="1:21">
      <c r="A208">
        <v>433</v>
      </c>
      <c r="B208" s="1">
        <v>45736</v>
      </c>
      <c r="C208" t="s">
        <v>225</v>
      </c>
      <c r="D208" t="s">
        <v>141</v>
      </c>
      <c r="E208" t="s">
        <v>54</v>
      </c>
      <c r="F208" t="s">
        <v>127</v>
      </c>
      <c r="G208" t="s">
        <v>105</v>
      </c>
      <c r="H208" t="s">
        <v>26</v>
      </c>
      <c r="I208">
        <v>3</v>
      </c>
      <c r="J208">
        <v>4271.83</v>
      </c>
      <c r="K208">
        <v>0.1</v>
      </c>
      <c r="L208">
        <v>11533.94</v>
      </c>
      <c r="M208">
        <v>9280.76</v>
      </c>
      <c r="N208">
        <v>2253.1799999999998</v>
      </c>
      <c r="O208" t="s">
        <v>38</v>
      </c>
      <c r="P208" t="s">
        <v>45</v>
      </c>
      <c r="Q208" t="s">
        <v>46</v>
      </c>
      <c r="R208" t="s">
        <v>306</v>
      </c>
      <c r="S208">
        <v>3</v>
      </c>
      <c r="T208" t="s">
        <v>31</v>
      </c>
      <c r="U208">
        <v>0.19535215199662906</v>
      </c>
    </row>
    <row r="209" spans="1:21">
      <c r="A209">
        <v>573</v>
      </c>
      <c r="B209" s="1">
        <v>45737</v>
      </c>
      <c r="C209" t="s">
        <v>273</v>
      </c>
      <c r="D209" t="s">
        <v>202</v>
      </c>
      <c r="E209" t="s">
        <v>76</v>
      </c>
      <c r="F209" t="s">
        <v>77</v>
      </c>
      <c r="G209" t="s">
        <v>134</v>
      </c>
      <c r="H209" t="s">
        <v>26</v>
      </c>
      <c r="I209">
        <v>1</v>
      </c>
      <c r="J209">
        <v>30668.62</v>
      </c>
      <c r="K209">
        <v>0.02</v>
      </c>
      <c r="L209">
        <v>30055.25</v>
      </c>
      <c r="M209">
        <v>25019.79</v>
      </c>
      <c r="N209">
        <v>5035.46</v>
      </c>
      <c r="O209" t="s">
        <v>38</v>
      </c>
      <c r="P209" t="s">
        <v>71</v>
      </c>
      <c r="Q209" t="s">
        <v>40</v>
      </c>
      <c r="R209" t="s">
        <v>306</v>
      </c>
      <c r="S209">
        <v>3</v>
      </c>
      <c r="T209" t="s">
        <v>31</v>
      </c>
      <c r="U209">
        <v>0.16754011362407567</v>
      </c>
    </row>
    <row r="210" spans="1:21">
      <c r="A210">
        <v>118</v>
      </c>
      <c r="B210" s="1">
        <v>45738</v>
      </c>
      <c r="C210" t="s">
        <v>363</v>
      </c>
      <c r="D210" t="s">
        <v>364</v>
      </c>
      <c r="E210" t="s">
        <v>34</v>
      </c>
      <c r="F210" t="s">
        <v>49</v>
      </c>
      <c r="G210" t="s">
        <v>145</v>
      </c>
      <c r="H210" t="s">
        <v>70</v>
      </c>
      <c r="I210">
        <v>2</v>
      </c>
      <c r="J210">
        <v>2135.61</v>
      </c>
      <c r="K210">
        <v>0.1</v>
      </c>
      <c r="L210">
        <v>3844.1</v>
      </c>
      <c r="M210">
        <v>2732.7</v>
      </c>
      <c r="N210">
        <v>1111.4000000000001</v>
      </c>
      <c r="O210" t="s">
        <v>38</v>
      </c>
      <c r="P210" t="s">
        <v>71</v>
      </c>
      <c r="Q210" t="s">
        <v>46</v>
      </c>
      <c r="R210" t="s">
        <v>306</v>
      </c>
      <c r="S210">
        <v>3</v>
      </c>
      <c r="T210" t="s">
        <v>31</v>
      </c>
      <c r="U210">
        <v>0.28911838921984345</v>
      </c>
    </row>
    <row r="211" spans="1:21">
      <c r="A211">
        <v>302</v>
      </c>
      <c r="B211" s="1">
        <v>45738</v>
      </c>
      <c r="C211" t="s">
        <v>301</v>
      </c>
      <c r="D211" t="s">
        <v>365</v>
      </c>
      <c r="E211" t="s">
        <v>23</v>
      </c>
      <c r="F211" t="s">
        <v>24</v>
      </c>
      <c r="G211" t="s">
        <v>44</v>
      </c>
      <c r="H211" t="s">
        <v>26</v>
      </c>
      <c r="I211">
        <v>1</v>
      </c>
      <c r="J211">
        <v>57440.61</v>
      </c>
      <c r="K211">
        <v>0.15</v>
      </c>
      <c r="L211">
        <v>48824.52</v>
      </c>
      <c r="M211">
        <v>48482.15</v>
      </c>
      <c r="N211">
        <v>342.37</v>
      </c>
      <c r="O211" t="s">
        <v>38</v>
      </c>
      <c r="P211" t="s">
        <v>28</v>
      </c>
      <c r="Q211" t="s">
        <v>29</v>
      </c>
      <c r="R211" t="s">
        <v>306</v>
      </c>
      <c r="S211">
        <v>3</v>
      </c>
      <c r="T211" t="s">
        <v>31</v>
      </c>
      <c r="U211">
        <v>7.0122553176150022E-3</v>
      </c>
    </row>
    <row r="212" spans="1:21">
      <c r="A212">
        <v>136</v>
      </c>
      <c r="B212" s="1">
        <v>45741</v>
      </c>
      <c r="C212" t="s">
        <v>366</v>
      </c>
      <c r="D212" t="s">
        <v>367</v>
      </c>
      <c r="E212" t="s">
        <v>54</v>
      </c>
      <c r="F212" t="s">
        <v>108</v>
      </c>
      <c r="G212" t="s">
        <v>62</v>
      </c>
      <c r="H212" t="s">
        <v>63</v>
      </c>
      <c r="I212">
        <v>3</v>
      </c>
      <c r="J212">
        <v>336.55</v>
      </c>
      <c r="K212">
        <v>0.05</v>
      </c>
      <c r="L212">
        <v>959.17</v>
      </c>
      <c r="M212">
        <v>753.14</v>
      </c>
      <c r="N212">
        <v>206.03</v>
      </c>
      <c r="O212" t="s">
        <v>27</v>
      </c>
      <c r="P212" t="s">
        <v>39</v>
      </c>
      <c r="Q212" t="s">
        <v>46</v>
      </c>
      <c r="R212" t="s">
        <v>306</v>
      </c>
      <c r="S212">
        <v>3</v>
      </c>
      <c r="T212" t="s">
        <v>31</v>
      </c>
      <c r="U212">
        <v>0.21480029608932724</v>
      </c>
    </row>
    <row r="213" spans="1:21">
      <c r="A213">
        <v>414</v>
      </c>
      <c r="B213" s="1">
        <v>45741</v>
      </c>
      <c r="C213" t="s">
        <v>368</v>
      </c>
      <c r="D213" t="s">
        <v>369</v>
      </c>
      <c r="E213" t="s">
        <v>23</v>
      </c>
      <c r="F213" t="s">
        <v>58</v>
      </c>
      <c r="G213" t="s">
        <v>145</v>
      </c>
      <c r="H213" t="s">
        <v>70</v>
      </c>
      <c r="I213">
        <v>1</v>
      </c>
      <c r="J213">
        <v>1525.36</v>
      </c>
      <c r="K213">
        <v>0.1</v>
      </c>
      <c r="L213">
        <v>1372.82</v>
      </c>
      <c r="M213">
        <v>946.26</v>
      </c>
      <c r="N213">
        <v>426.56</v>
      </c>
      <c r="O213" t="s">
        <v>38</v>
      </c>
      <c r="P213" t="s">
        <v>71</v>
      </c>
      <c r="Q213" t="s">
        <v>40</v>
      </c>
      <c r="R213" t="s">
        <v>306</v>
      </c>
      <c r="S213">
        <v>3</v>
      </c>
      <c r="T213" t="s">
        <v>31</v>
      </c>
      <c r="U213">
        <v>0.31071808394399852</v>
      </c>
    </row>
    <row r="214" spans="1:21">
      <c r="A214">
        <v>707</v>
      </c>
      <c r="B214" s="1">
        <v>45741</v>
      </c>
      <c r="C214" t="s">
        <v>203</v>
      </c>
      <c r="D214" t="s">
        <v>226</v>
      </c>
      <c r="E214" t="s">
        <v>34</v>
      </c>
      <c r="F214" t="s">
        <v>49</v>
      </c>
      <c r="G214" t="s">
        <v>145</v>
      </c>
      <c r="H214" t="s">
        <v>70</v>
      </c>
      <c r="I214">
        <v>1</v>
      </c>
      <c r="J214">
        <v>1019.6</v>
      </c>
      <c r="K214">
        <v>0</v>
      </c>
      <c r="L214">
        <v>1019.6</v>
      </c>
      <c r="M214">
        <v>774.69</v>
      </c>
      <c r="N214">
        <v>244.91</v>
      </c>
      <c r="O214" t="s">
        <v>38</v>
      </c>
      <c r="P214" t="s">
        <v>71</v>
      </c>
      <c r="Q214" t="s">
        <v>40</v>
      </c>
      <c r="R214" t="s">
        <v>306</v>
      </c>
      <c r="S214">
        <v>3</v>
      </c>
      <c r="T214" t="s">
        <v>31</v>
      </c>
      <c r="U214">
        <v>0.24020204001569243</v>
      </c>
    </row>
    <row r="215" spans="1:21">
      <c r="A215">
        <v>843</v>
      </c>
      <c r="B215" s="1">
        <v>45742</v>
      </c>
      <c r="C215" t="s">
        <v>370</v>
      </c>
      <c r="D215" t="s">
        <v>371</v>
      </c>
      <c r="E215" t="s">
        <v>23</v>
      </c>
      <c r="F215" t="s">
        <v>58</v>
      </c>
      <c r="G215" t="s">
        <v>62</v>
      </c>
      <c r="H215" t="s">
        <v>63</v>
      </c>
      <c r="I215">
        <v>1</v>
      </c>
      <c r="J215">
        <v>369.06</v>
      </c>
      <c r="K215">
        <v>0.15</v>
      </c>
      <c r="L215">
        <v>313.7</v>
      </c>
      <c r="M215">
        <v>314.94</v>
      </c>
      <c r="N215">
        <v>-1.24</v>
      </c>
      <c r="O215" t="s">
        <v>27</v>
      </c>
      <c r="P215" t="s">
        <v>78</v>
      </c>
      <c r="Q215" t="s">
        <v>29</v>
      </c>
      <c r="R215" t="s">
        <v>306</v>
      </c>
      <c r="S215">
        <v>3</v>
      </c>
      <c r="T215" t="s">
        <v>31</v>
      </c>
      <c r="U215">
        <v>-3.9528211667197964E-3</v>
      </c>
    </row>
    <row r="216" spans="1:21">
      <c r="A216">
        <v>649</v>
      </c>
      <c r="B216" s="1">
        <v>45742</v>
      </c>
      <c r="C216" t="s">
        <v>193</v>
      </c>
      <c r="D216" t="s">
        <v>126</v>
      </c>
      <c r="E216" t="s">
        <v>97</v>
      </c>
      <c r="F216" t="s">
        <v>148</v>
      </c>
      <c r="G216" t="s">
        <v>62</v>
      </c>
      <c r="H216" t="s">
        <v>63</v>
      </c>
      <c r="I216">
        <v>4</v>
      </c>
      <c r="J216">
        <v>276.94</v>
      </c>
      <c r="K216">
        <v>0.05</v>
      </c>
      <c r="L216">
        <v>1052.3699999999999</v>
      </c>
      <c r="M216">
        <v>838.24</v>
      </c>
      <c r="N216">
        <v>214.13</v>
      </c>
      <c r="O216" t="s">
        <v>38</v>
      </c>
      <c r="P216" t="s">
        <v>45</v>
      </c>
      <c r="Q216" t="s">
        <v>46</v>
      </c>
      <c r="R216" t="s">
        <v>306</v>
      </c>
      <c r="S216">
        <v>3</v>
      </c>
      <c r="T216" t="s">
        <v>31</v>
      </c>
      <c r="U216">
        <v>0.20347406330473125</v>
      </c>
    </row>
    <row r="217" spans="1:21">
      <c r="A217">
        <v>287</v>
      </c>
      <c r="B217" s="1">
        <v>45743</v>
      </c>
      <c r="C217" t="s">
        <v>74</v>
      </c>
      <c r="D217" t="s">
        <v>291</v>
      </c>
      <c r="E217" t="s">
        <v>97</v>
      </c>
      <c r="F217" t="s">
        <v>104</v>
      </c>
      <c r="G217" t="s">
        <v>59</v>
      </c>
      <c r="H217" t="s">
        <v>37</v>
      </c>
      <c r="I217">
        <v>2</v>
      </c>
      <c r="J217">
        <v>15157.53</v>
      </c>
      <c r="K217">
        <v>0.02</v>
      </c>
      <c r="L217">
        <v>29708.76</v>
      </c>
      <c r="M217">
        <v>24877.24</v>
      </c>
      <c r="N217">
        <v>4831.5200000000004</v>
      </c>
      <c r="O217" t="s">
        <v>38</v>
      </c>
      <c r="P217" t="s">
        <v>45</v>
      </c>
      <c r="Q217" t="s">
        <v>29</v>
      </c>
      <c r="R217" t="s">
        <v>306</v>
      </c>
      <c r="S217">
        <v>3</v>
      </c>
      <c r="T217" t="s">
        <v>31</v>
      </c>
      <c r="U217">
        <v>0.16262947359633995</v>
      </c>
    </row>
    <row r="218" spans="1:21">
      <c r="A218">
        <v>910</v>
      </c>
      <c r="B218" s="1">
        <v>45743</v>
      </c>
      <c r="C218" t="s">
        <v>341</v>
      </c>
      <c r="D218" t="s">
        <v>207</v>
      </c>
      <c r="E218" t="s">
        <v>34</v>
      </c>
      <c r="F218" t="s">
        <v>35</v>
      </c>
      <c r="G218" t="s">
        <v>99</v>
      </c>
      <c r="H218" t="s">
        <v>26</v>
      </c>
      <c r="I218">
        <v>1</v>
      </c>
      <c r="J218">
        <v>17191.39</v>
      </c>
      <c r="K218">
        <v>0.15</v>
      </c>
      <c r="L218">
        <v>14612.68</v>
      </c>
      <c r="M218">
        <v>14520.25</v>
      </c>
      <c r="N218">
        <v>92.43</v>
      </c>
      <c r="O218" t="s">
        <v>27</v>
      </c>
      <c r="P218" t="s">
        <v>45</v>
      </c>
      <c r="Q218" t="s">
        <v>29</v>
      </c>
      <c r="R218" t="s">
        <v>306</v>
      </c>
      <c r="S218">
        <v>3</v>
      </c>
      <c r="T218" t="s">
        <v>31</v>
      </c>
      <c r="U218">
        <v>6.3253284134053445E-3</v>
      </c>
    </row>
    <row r="219" spans="1:21">
      <c r="A219">
        <v>768</v>
      </c>
      <c r="B219" s="1">
        <v>45744</v>
      </c>
      <c r="C219" t="s">
        <v>170</v>
      </c>
      <c r="D219" t="s">
        <v>339</v>
      </c>
      <c r="E219" t="s">
        <v>97</v>
      </c>
      <c r="F219" t="s">
        <v>148</v>
      </c>
      <c r="G219" t="s">
        <v>145</v>
      </c>
      <c r="H219" t="s">
        <v>70</v>
      </c>
      <c r="I219">
        <v>1</v>
      </c>
      <c r="J219">
        <v>1280.25</v>
      </c>
      <c r="K219">
        <v>0.1</v>
      </c>
      <c r="L219">
        <v>1152.23</v>
      </c>
      <c r="M219">
        <v>1069.9100000000001</v>
      </c>
      <c r="N219">
        <v>82.32</v>
      </c>
      <c r="O219" t="s">
        <v>27</v>
      </c>
      <c r="P219" t="s">
        <v>28</v>
      </c>
      <c r="Q219" t="s">
        <v>46</v>
      </c>
      <c r="R219" t="s">
        <v>306</v>
      </c>
      <c r="S219">
        <v>3</v>
      </c>
      <c r="T219" t="s">
        <v>31</v>
      </c>
      <c r="U219">
        <v>7.1444069326436557E-2</v>
      </c>
    </row>
    <row r="220" spans="1:21">
      <c r="A220">
        <v>678</v>
      </c>
      <c r="B220" s="1">
        <v>45745</v>
      </c>
      <c r="C220" t="s">
        <v>372</v>
      </c>
      <c r="D220" t="s">
        <v>278</v>
      </c>
      <c r="E220" t="s">
        <v>34</v>
      </c>
      <c r="F220" t="s">
        <v>86</v>
      </c>
      <c r="G220" t="s">
        <v>105</v>
      </c>
      <c r="H220" t="s">
        <v>26</v>
      </c>
      <c r="I220">
        <v>2</v>
      </c>
      <c r="J220">
        <v>3557.69</v>
      </c>
      <c r="K220">
        <v>0.15</v>
      </c>
      <c r="L220">
        <v>6048.07</v>
      </c>
      <c r="M220">
        <v>6064.53</v>
      </c>
      <c r="N220">
        <v>-16.46</v>
      </c>
      <c r="O220" t="s">
        <v>38</v>
      </c>
      <c r="P220" t="s">
        <v>28</v>
      </c>
      <c r="Q220" t="s">
        <v>40</v>
      </c>
      <c r="R220" t="s">
        <v>306</v>
      </c>
      <c r="S220">
        <v>3</v>
      </c>
      <c r="T220" t="s">
        <v>31</v>
      </c>
      <c r="U220">
        <v>-2.7215293473785854E-3</v>
      </c>
    </row>
    <row r="221" spans="1:21">
      <c r="A221">
        <v>461</v>
      </c>
      <c r="B221" s="1">
        <v>45745</v>
      </c>
      <c r="C221" t="s">
        <v>373</v>
      </c>
      <c r="D221" t="s">
        <v>250</v>
      </c>
      <c r="E221" t="s">
        <v>97</v>
      </c>
      <c r="F221" t="s">
        <v>104</v>
      </c>
      <c r="G221" t="s">
        <v>59</v>
      </c>
      <c r="H221" t="s">
        <v>37</v>
      </c>
      <c r="I221">
        <v>1</v>
      </c>
      <c r="J221">
        <v>14399.93</v>
      </c>
      <c r="K221">
        <v>0</v>
      </c>
      <c r="L221">
        <v>14399.93</v>
      </c>
      <c r="M221">
        <v>9729.15</v>
      </c>
      <c r="N221">
        <v>4670.78</v>
      </c>
      <c r="O221" t="s">
        <v>27</v>
      </c>
      <c r="P221" t="s">
        <v>28</v>
      </c>
      <c r="Q221" t="s">
        <v>29</v>
      </c>
      <c r="R221" t="s">
        <v>306</v>
      </c>
      <c r="S221">
        <v>3</v>
      </c>
      <c r="T221" t="s">
        <v>31</v>
      </c>
      <c r="U221">
        <v>0.32436129897853666</v>
      </c>
    </row>
    <row r="222" spans="1:21">
      <c r="A222">
        <v>706</v>
      </c>
      <c r="B222" s="1">
        <v>45745</v>
      </c>
      <c r="C222" t="s">
        <v>374</v>
      </c>
      <c r="D222" t="s">
        <v>375</v>
      </c>
      <c r="E222" t="s">
        <v>54</v>
      </c>
      <c r="F222" t="s">
        <v>127</v>
      </c>
      <c r="G222" t="s">
        <v>66</v>
      </c>
      <c r="H222" t="s">
        <v>51</v>
      </c>
      <c r="I222">
        <v>2</v>
      </c>
      <c r="J222">
        <v>1733.46</v>
      </c>
      <c r="K222">
        <v>0.1</v>
      </c>
      <c r="L222">
        <v>3120.23</v>
      </c>
      <c r="M222">
        <v>2292.75</v>
      </c>
      <c r="N222">
        <v>827.48</v>
      </c>
      <c r="O222" t="s">
        <v>38</v>
      </c>
      <c r="P222" t="s">
        <v>45</v>
      </c>
      <c r="Q222" t="s">
        <v>29</v>
      </c>
      <c r="R222" t="s">
        <v>306</v>
      </c>
      <c r="S222">
        <v>3</v>
      </c>
      <c r="T222" t="s">
        <v>31</v>
      </c>
      <c r="U222">
        <v>0.26519839883598323</v>
      </c>
    </row>
    <row r="223" spans="1:21">
      <c r="A223">
        <v>935</v>
      </c>
      <c r="B223" s="1">
        <v>45746</v>
      </c>
      <c r="C223" t="s">
        <v>328</v>
      </c>
      <c r="D223" t="s">
        <v>257</v>
      </c>
      <c r="E223" t="s">
        <v>97</v>
      </c>
      <c r="F223" t="s">
        <v>148</v>
      </c>
      <c r="G223" t="s">
        <v>36</v>
      </c>
      <c r="H223" t="s">
        <v>37</v>
      </c>
      <c r="I223">
        <v>2</v>
      </c>
      <c r="J223">
        <v>12741.65</v>
      </c>
      <c r="K223">
        <v>0</v>
      </c>
      <c r="L223">
        <v>25483.3</v>
      </c>
      <c r="M223">
        <v>22120</v>
      </c>
      <c r="N223">
        <v>3363.3</v>
      </c>
      <c r="O223" t="s">
        <v>27</v>
      </c>
      <c r="P223" t="s">
        <v>78</v>
      </c>
      <c r="Q223" t="s">
        <v>40</v>
      </c>
      <c r="R223" t="s">
        <v>306</v>
      </c>
      <c r="S223">
        <v>3</v>
      </c>
      <c r="T223" t="s">
        <v>31</v>
      </c>
      <c r="U223">
        <v>0.13198055196932895</v>
      </c>
    </row>
    <row r="224" spans="1:21">
      <c r="A224">
        <v>745</v>
      </c>
      <c r="B224" s="1">
        <v>45746</v>
      </c>
      <c r="C224" t="s">
        <v>156</v>
      </c>
      <c r="D224" t="s">
        <v>335</v>
      </c>
      <c r="E224" t="s">
        <v>76</v>
      </c>
      <c r="F224" t="s">
        <v>77</v>
      </c>
      <c r="G224" t="s">
        <v>134</v>
      </c>
      <c r="H224" t="s">
        <v>26</v>
      </c>
      <c r="I224">
        <v>1</v>
      </c>
      <c r="J224">
        <v>34381.230000000003</v>
      </c>
      <c r="K224">
        <v>0.1</v>
      </c>
      <c r="L224">
        <v>30943.11</v>
      </c>
      <c r="M224">
        <v>26072.75</v>
      </c>
      <c r="N224">
        <v>4870.3599999999997</v>
      </c>
      <c r="O224" t="s">
        <v>27</v>
      </c>
      <c r="P224" t="s">
        <v>39</v>
      </c>
      <c r="Q224" t="s">
        <v>46</v>
      </c>
      <c r="R224" t="s">
        <v>306</v>
      </c>
      <c r="S224">
        <v>3</v>
      </c>
      <c r="T224" t="s">
        <v>31</v>
      </c>
      <c r="U224">
        <v>0.15739723641224168</v>
      </c>
    </row>
    <row r="225" spans="1:21">
      <c r="A225">
        <v>134</v>
      </c>
      <c r="B225" s="1">
        <v>45747</v>
      </c>
      <c r="C225" t="s">
        <v>376</v>
      </c>
      <c r="D225" t="s">
        <v>161</v>
      </c>
      <c r="E225" t="s">
        <v>97</v>
      </c>
      <c r="F225" t="s">
        <v>98</v>
      </c>
      <c r="G225" t="s">
        <v>99</v>
      </c>
      <c r="H225" t="s">
        <v>26</v>
      </c>
      <c r="I225">
        <v>4</v>
      </c>
      <c r="J225">
        <v>16513.830000000002</v>
      </c>
      <c r="K225">
        <v>0.02</v>
      </c>
      <c r="L225">
        <v>64734.21</v>
      </c>
      <c r="M225">
        <v>57741.68</v>
      </c>
      <c r="N225">
        <v>6992.53</v>
      </c>
      <c r="O225" t="s">
        <v>27</v>
      </c>
      <c r="P225" t="s">
        <v>45</v>
      </c>
      <c r="Q225" t="s">
        <v>40</v>
      </c>
      <c r="R225" t="s">
        <v>306</v>
      </c>
      <c r="S225">
        <v>3</v>
      </c>
      <c r="T225" t="s">
        <v>31</v>
      </c>
      <c r="U225">
        <v>0.1080190829547468</v>
      </c>
    </row>
    <row r="226" spans="1:21">
      <c r="A226">
        <v>201</v>
      </c>
      <c r="B226" s="1">
        <v>45747</v>
      </c>
      <c r="C226" t="s">
        <v>156</v>
      </c>
      <c r="D226" t="s">
        <v>131</v>
      </c>
      <c r="E226" t="s">
        <v>23</v>
      </c>
      <c r="F226" t="s">
        <v>43</v>
      </c>
      <c r="G226" t="s">
        <v>145</v>
      </c>
      <c r="H226" t="s">
        <v>70</v>
      </c>
      <c r="I226">
        <v>2</v>
      </c>
      <c r="J226">
        <v>2184.91</v>
      </c>
      <c r="K226">
        <v>0.05</v>
      </c>
      <c r="L226">
        <v>4151.33</v>
      </c>
      <c r="M226">
        <v>3550.03</v>
      </c>
      <c r="N226">
        <v>601.29999999999995</v>
      </c>
      <c r="O226" t="s">
        <v>27</v>
      </c>
      <c r="P226" t="s">
        <v>39</v>
      </c>
      <c r="Q226" t="s">
        <v>29</v>
      </c>
      <c r="R226" t="s">
        <v>306</v>
      </c>
      <c r="S226">
        <v>3</v>
      </c>
      <c r="T226" t="s">
        <v>31</v>
      </c>
      <c r="U226">
        <v>0.14484514601344628</v>
      </c>
    </row>
    <row r="227" spans="1:21">
      <c r="A227">
        <v>388</v>
      </c>
      <c r="B227" s="1">
        <v>45747</v>
      </c>
      <c r="C227" t="s">
        <v>205</v>
      </c>
      <c r="D227" t="s">
        <v>276</v>
      </c>
      <c r="E227" t="s">
        <v>97</v>
      </c>
      <c r="F227" t="s">
        <v>148</v>
      </c>
      <c r="G227" t="s">
        <v>145</v>
      </c>
      <c r="H227" t="s">
        <v>70</v>
      </c>
      <c r="I227">
        <v>3</v>
      </c>
      <c r="J227">
        <v>2023</v>
      </c>
      <c r="K227">
        <v>0</v>
      </c>
      <c r="L227">
        <v>6069</v>
      </c>
      <c r="M227">
        <v>4280.63</v>
      </c>
      <c r="N227">
        <v>1788.37</v>
      </c>
      <c r="O227" t="s">
        <v>27</v>
      </c>
      <c r="P227" t="s">
        <v>28</v>
      </c>
      <c r="Q227" t="s">
        <v>40</v>
      </c>
      <c r="R227" t="s">
        <v>306</v>
      </c>
      <c r="S227">
        <v>3</v>
      </c>
      <c r="T227" t="s">
        <v>31</v>
      </c>
      <c r="U227">
        <v>0.29467292799472727</v>
      </c>
    </row>
    <row r="228" spans="1:21">
      <c r="A228">
        <v>972</v>
      </c>
      <c r="B228" s="1">
        <v>45748</v>
      </c>
      <c r="C228" t="s">
        <v>377</v>
      </c>
      <c r="D228" t="s">
        <v>236</v>
      </c>
      <c r="E228" t="s">
        <v>34</v>
      </c>
      <c r="F228" t="s">
        <v>35</v>
      </c>
      <c r="G228" t="s">
        <v>99</v>
      </c>
      <c r="H228" t="s">
        <v>26</v>
      </c>
      <c r="I228">
        <v>4</v>
      </c>
      <c r="J228">
        <v>10517.71</v>
      </c>
      <c r="K228">
        <v>0.1</v>
      </c>
      <c r="L228">
        <v>37863.760000000002</v>
      </c>
      <c r="M228">
        <v>31925.34</v>
      </c>
      <c r="N228">
        <v>5938.42</v>
      </c>
      <c r="O228" t="s">
        <v>27</v>
      </c>
      <c r="P228" t="s">
        <v>45</v>
      </c>
      <c r="Q228" t="s">
        <v>29</v>
      </c>
      <c r="R228" t="s">
        <v>378</v>
      </c>
      <c r="S228">
        <v>4</v>
      </c>
      <c r="T228" t="s">
        <v>379</v>
      </c>
      <c r="U228">
        <v>0.15683651068990506</v>
      </c>
    </row>
    <row r="229" spans="1:21">
      <c r="A229">
        <v>983</v>
      </c>
      <c r="B229" s="1">
        <v>45748</v>
      </c>
      <c r="C229" t="s">
        <v>79</v>
      </c>
      <c r="D229" t="s">
        <v>380</v>
      </c>
      <c r="E229" t="s">
        <v>23</v>
      </c>
      <c r="F229" t="s">
        <v>58</v>
      </c>
      <c r="G229" t="s">
        <v>36</v>
      </c>
      <c r="H229" t="s">
        <v>37</v>
      </c>
      <c r="I229">
        <v>3</v>
      </c>
      <c r="J229">
        <v>7665.33</v>
      </c>
      <c r="K229">
        <v>0.02</v>
      </c>
      <c r="L229">
        <v>22536.07</v>
      </c>
      <c r="M229">
        <v>14541.62</v>
      </c>
      <c r="N229">
        <v>7994.45</v>
      </c>
      <c r="O229" t="s">
        <v>38</v>
      </c>
      <c r="P229" t="s">
        <v>39</v>
      </c>
      <c r="Q229" t="s">
        <v>40</v>
      </c>
      <c r="R229" t="s">
        <v>378</v>
      </c>
      <c r="S229">
        <v>4</v>
      </c>
      <c r="T229" t="s">
        <v>379</v>
      </c>
      <c r="U229">
        <v>0.35474020093121827</v>
      </c>
    </row>
    <row r="230" spans="1:21">
      <c r="A230">
        <v>320</v>
      </c>
      <c r="B230" s="1">
        <v>45748</v>
      </c>
      <c r="C230" t="s">
        <v>187</v>
      </c>
      <c r="D230" t="s">
        <v>381</v>
      </c>
      <c r="E230" t="s">
        <v>23</v>
      </c>
      <c r="F230" t="s">
        <v>43</v>
      </c>
      <c r="G230" t="s">
        <v>36</v>
      </c>
      <c r="H230" t="s">
        <v>37</v>
      </c>
      <c r="I230">
        <v>1</v>
      </c>
      <c r="J230">
        <v>6403.38</v>
      </c>
      <c r="K230">
        <v>0</v>
      </c>
      <c r="L230">
        <v>6403.38</v>
      </c>
      <c r="M230">
        <v>4391.8999999999996</v>
      </c>
      <c r="N230">
        <v>2011.48</v>
      </c>
      <c r="O230" t="s">
        <v>38</v>
      </c>
      <c r="P230" t="s">
        <v>45</v>
      </c>
      <c r="Q230" t="s">
        <v>29</v>
      </c>
      <c r="R230" t="s">
        <v>378</v>
      </c>
      <c r="S230">
        <v>4</v>
      </c>
      <c r="T230" t="s">
        <v>379</v>
      </c>
      <c r="U230">
        <v>0.3141278512285699</v>
      </c>
    </row>
    <row r="231" spans="1:21">
      <c r="A231">
        <v>853</v>
      </c>
      <c r="B231" s="1">
        <v>45749</v>
      </c>
      <c r="C231" t="s">
        <v>382</v>
      </c>
      <c r="D231" t="s">
        <v>375</v>
      </c>
      <c r="E231" t="s">
        <v>76</v>
      </c>
      <c r="F231" t="s">
        <v>81</v>
      </c>
      <c r="G231" t="s">
        <v>59</v>
      </c>
      <c r="H231" t="s">
        <v>37</v>
      </c>
      <c r="I231">
        <v>3</v>
      </c>
      <c r="J231">
        <v>16083</v>
      </c>
      <c r="K231">
        <v>0.1</v>
      </c>
      <c r="L231">
        <v>43424.1</v>
      </c>
      <c r="M231">
        <v>38329.730000000003</v>
      </c>
      <c r="N231">
        <v>5094.37</v>
      </c>
      <c r="O231" t="s">
        <v>38</v>
      </c>
      <c r="P231" t="s">
        <v>78</v>
      </c>
      <c r="Q231" t="s">
        <v>46</v>
      </c>
      <c r="R231" t="s">
        <v>378</v>
      </c>
      <c r="S231">
        <v>4</v>
      </c>
      <c r="T231" t="s">
        <v>379</v>
      </c>
      <c r="U231">
        <v>0.11731665135258992</v>
      </c>
    </row>
    <row r="232" spans="1:21">
      <c r="A232">
        <v>617</v>
      </c>
      <c r="B232" s="1">
        <v>45750</v>
      </c>
      <c r="C232" t="s">
        <v>286</v>
      </c>
      <c r="D232" t="s">
        <v>188</v>
      </c>
      <c r="E232" t="s">
        <v>97</v>
      </c>
      <c r="F232" t="s">
        <v>98</v>
      </c>
      <c r="G232" t="s">
        <v>44</v>
      </c>
      <c r="H232" t="s">
        <v>26</v>
      </c>
      <c r="I232">
        <v>1</v>
      </c>
      <c r="J232">
        <v>64490.89</v>
      </c>
      <c r="K232">
        <v>0</v>
      </c>
      <c r="L232">
        <v>64490.89</v>
      </c>
      <c r="M232">
        <v>45999.35</v>
      </c>
      <c r="N232">
        <v>18491.54</v>
      </c>
      <c r="O232" t="s">
        <v>38</v>
      </c>
      <c r="P232" t="s">
        <v>71</v>
      </c>
      <c r="Q232" t="s">
        <v>46</v>
      </c>
      <c r="R232" t="s">
        <v>378</v>
      </c>
      <c r="S232">
        <v>4</v>
      </c>
      <c r="T232" t="s">
        <v>379</v>
      </c>
      <c r="U232">
        <v>0.28673104061674448</v>
      </c>
    </row>
    <row r="233" spans="1:21">
      <c r="A233">
        <v>354</v>
      </c>
      <c r="B233" s="1">
        <v>45750</v>
      </c>
      <c r="C233" t="s">
        <v>295</v>
      </c>
      <c r="D233" t="s">
        <v>247</v>
      </c>
      <c r="E233" t="s">
        <v>54</v>
      </c>
      <c r="F233" t="s">
        <v>127</v>
      </c>
      <c r="G233" t="s">
        <v>36</v>
      </c>
      <c r="H233" t="s">
        <v>37</v>
      </c>
      <c r="I233">
        <v>3</v>
      </c>
      <c r="J233">
        <v>12461.67</v>
      </c>
      <c r="K233">
        <v>0.02</v>
      </c>
      <c r="L233">
        <v>36637.31</v>
      </c>
      <c r="M233">
        <v>29669.41</v>
      </c>
      <c r="N233">
        <v>6967.9</v>
      </c>
      <c r="O233" t="s">
        <v>38</v>
      </c>
      <c r="P233" t="s">
        <v>39</v>
      </c>
      <c r="Q233" t="s">
        <v>46</v>
      </c>
      <c r="R233" t="s">
        <v>378</v>
      </c>
      <c r="S233">
        <v>4</v>
      </c>
      <c r="T233" t="s">
        <v>379</v>
      </c>
      <c r="U233">
        <v>0.1901859061159239</v>
      </c>
    </row>
    <row r="234" spans="1:21">
      <c r="A234">
        <v>233</v>
      </c>
      <c r="B234" s="1">
        <v>45750</v>
      </c>
      <c r="C234" t="s">
        <v>193</v>
      </c>
      <c r="D234" t="s">
        <v>383</v>
      </c>
      <c r="E234" t="s">
        <v>97</v>
      </c>
      <c r="F234" t="s">
        <v>98</v>
      </c>
      <c r="G234" t="s">
        <v>62</v>
      </c>
      <c r="H234" t="s">
        <v>63</v>
      </c>
      <c r="I234">
        <v>1</v>
      </c>
      <c r="J234">
        <v>273.3</v>
      </c>
      <c r="K234">
        <v>0.05</v>
      </c>
      <c r="L234">
        <v>259.63</v>
      </c>
      <c r="M234">
        <v>189.12</v>
      </c>
      <c r="N234">
        <v>70.510000000000005</v>
      </c>
      <c r="O234" t="s">
        <v>38</v>
      </c>
      <c r="P234" t="s">
        <v>39</v>
      </c>
      <c r="Q234" t="s">
        <v>29</v>
      </c>
      <c r="R234" t="s">
        <v>378</v>
      </c>
      <c r="S234">
        <v>4</v>
      </c>
      <c r="T234" t="s">
        <v>379</v>
      </c>
      <c r="U234">
        <v>0.271578785194315</v>
      </c>
    </row>
    <row r="235" spans="1:21">
      <c r="A235">
        <v>240</v>
      </c>
      <c r="B235" s="1">
        <v>45750</v>
      </c>
      <c r="C235" t="s">
        <v>368</v>
      </c>
      <c r="D235" t="s">
        <v>182</v>
      </c>
      <c r="E235" t="s">
        <v>97</v>
      </c>
      <c r="F235" t="s">
        <v>98</v>
      </c>
      <c r="G235" t="s">
        <v>59</v>
      </c>
      <c r="H235" t="s">
        <v>37</v>
      </c>
      <c r="I235">
        <v>2</v>
      </c>
      <c r="J235">
        <v>16358.08</v>
      </c>
      <c r="K235">
        <v>0.05</v>
      </c>
      <c r="L235">
        <v>31080.35</v>
      </c>
      <c r="M235">
        <v>26586.959999999999</v>
      </c>
      <c r="N235">
        <v>4493.3900000000003</v>
      </c>
      <c r="O235" t="s">
        <v>27</v>
      </c>
      <c r="P235" t="s">
        <v>28</v>
      </c>
      <c r="Q235" t="s">
        <v>29</v>
      </c>
      <c r="R235" t="s">
        <v>378</v>
      </c>
      <c r="S235">
        <v>4</v>
      </c>
      <c r="T235" t="s">
        <v>379</v>
      </c>
      <c r="U235">
        <v>0.14457333974681755</v>
      </c>
    </row>
    <row r="236" spans="1:21">
      <c r="A236">
        <v>355</v>
      </c>
      <c r="B236" s="1">
        <v>45751</v>
      </c>
      <c r="C236" t="s">
        <v>384</v>
      </c>
      <c r="D236" t="s">
        <v>271</v>
      </c>
      <c r="E236" t="s">
        <v>54</v>
      </c>
      <c r="F236" t="s">
        <v>108</v>
      </c>
      <c r="G236" t="s">
        <v>99</v>
      </c>
      <c r="H236" t="s">
        <v>26</v>
      </c>
      <c r="I236">
        <v>1</v>
      </c>
      <c r="J236">
        <v>29179.32</v>
      </c>
      <c r="K236">
        <v>0.1</v>
      </c>
      <c r="L236">
        <v>26261.39</v>
      </c>
      <c r="M236">
        <v>21797.21</v>
      </c>
      <c r="N236">
        <v>4464.18</v>
      </c>
      <c r="O236" t="s">
        <v>38</v>
      </c>
      <c r="P236" t="s">
        <v>45</v>
      </c>
      <c r="Q236" t="s">
        <v>40</v>
      </c>
      <c r="R236" t="s">
        <v>378</v>
      </c>
      <c r="S236">
        <v>4</v>
      </c>
      <c r="T236" t="s">
        <v>379</v>
      </c>
      <c r="U236">
        <v>0.16999024042520219</v>
      </c>
    </row>
    <row r="237" spans="1:21">
      <c r="A237">
        <v>604</v>
      </c>
      <c r="B237" s="1">
        <v>45751</v>
      </c>
      <c r="C237" t="s">
        <v>331</v>
      </c>
      <c r="D237" t="s">
        <v>347</v>
      </c>
      <c r="E237" t="s">
        <v>34</v>
      </c>
      <c r="F237" t="s">
        <v>35</v>
      </c>
      <c r="G237" t="s">
        <v>25</v>
      </c>
      <c r="H237" t="s">
        <v>26</v>
      </c>
      <c r="I237">
        <v>2</v>
      </c>
      <c r="J237">
        <v>8796.56</v>
      </c>
      <c r="K237">
        <v>0.05</v>
      </c>
      <c r="L237">
        <v>16713.46</v>
      </c>
      <c r="M237">
        <v>12030.49</v>
      </c>
      <c r="N237">
        <v>4682.97</v>
      </c>
      <c r="O237" t="s">
        <v>27</v>
      </c>
      <c r="P237" t="s">
        <v>71</v>
      </c>
      <c r="Q237" t="s">
        <v>40</v>
      </c>
      <c r="R237" t="s">
        <v>378</v>
      </c>
      <c r="S237">
        <v>4</v>
      </c>
      <c r="T237" t="s">
        <v>379</v>
      </c>
      <c r="U237">
        <v>0.28019153424844412</v>
      </c>
    </row>
    <row r="238" spans="1:21">
      <c r="A238">
        <v>342</v>
      </c>
      <c r="B238" s="1">
        <v>45751</v>
      </c>
      <c r="C238" t="s">
        <v>385</v>
      </c>
      <c r="D238" t="s">
        <v>305</v>
      </c>
      <c r="E238" t="s">
        <v>34</v>
      </c>
      <c r="F238" t="s">
        <v>49</v>
      </c>
      <c r="G238" t="s">
        <v>50</v>
      </c>
      <c r="H238" t="s">
        <v>51</v>
      </c>
      <c r="I238">
        <v>1</v>
      </c>
      <c r="J238">
        <v>625.13</v>
      </c>
      <c r="K238">
        <v>0</v>
      </c>
      <c r="L238">
        <v>625.13</v>
      </c>
      <c r="M238">
        <v>426.83</v>
      </c>
      <c r="N238">
        <v>198.3</v>
      </c>
      <c r="O238" t="s">
        <v>27</v>
      </c>
      <c r="P238" t="s">
        <v>78</v>
      </c>
      <c r="Q238" t="s">
        <v>46</v>
      </c>
      <c r="R238" t="s">
        <v>378</v>
      </c>
      <c r="S238">
        <v>4</v>
      </c>
      <c r="T238" t="s">
        <v>379</v>
      </c>
      <c r="U238">
        <v>0.31721401948394734</v>
      </c>
    </row>
    <row r="239" spans="1:21">
      <c r="A239">
        <v>412</v>
      </c>
      <c r="B239" s="1">
        <v>45752</v>
      </c>
      <c r="C239" t="s">
        <v>144</v>
      </c>
      <c r="D239" t="s">
        <v>386</v>
      </c>
      <c r="E239" t="s">
        <v>23</v>
      </c>
      <c r="F239" t="s">
        <v>58</v>
      </c>
      <c r="G239" t="s">
        <v>50</v>
      </c>
      <c r="H239" t="s">
        <v>51</v>
      </c>
      <c r="I239">
        <v>2</v>
      </c>
      <c r="J239">
        <v>967.43</v>
      </c>
      <c r="K239">
        <v>0.02</v>
      </c>
      <c r="L239">
        <v>1896.16</v>
      </c>
      <c r="M239">
        <v>1463.02</v>
      </c>
      <c r="N239">
        <v>433.14</v>
      </c>
      <c r="O239" t="s">
        <v>38</v>
      </c>
      <c r="P239" t="s">
        <v>78</v>
      </c>
      <c r="Q239" t="s">
        <v>29</v>
      </c>
      <c r="R239" t="s">
        <v>378</v>
      </c>
      <c r="S239">
        <v>4</v>
      </c>
      <c r="T239" t="s">
        <v>379</v>
      </c>
      <c r="U239">
        <v>0.22843009028773942</v>
      </c>
    </row>
    <row r="240" spans="1:21">
      <c r="A240">
        <v>784</v>
      </c>
      <c r="B240" s="1">
        <v>45752</v>
      </c>
      <c r="C240" t="s">
        <v>168</v>
      </c>
      <c r="D240" t="s">
        <v>167</v>
      </c>
      <c r="E240" t="s">
        <v>54</v>
      </c>
      <c r="F240" t="s">
        <v>55</v>
      </c>
      <c r="G240" t="s">
        <v>99</v>
      </c>
      <c r="H240" t="s">
        <v>26</v>
      </c>
      <c r="I240">
        <v>3</v>
      </c>
      <c r="J240">
        <v>16144.54</v>
      </c>
      <c r="K240">
        <v>0.1</v>
      </c>
      <c r="L240">
        <v>43590.26</v>
      </c>
      <c r="M240">
        <v>36067.31</v>
      </c>
      <c r="N240">
        <v>7522.95</v>
      </c>
      <c r="O240" t="s">
        <v>38</v>
      </c>
      <c r="P240" t="s">
        <v>71</v>
      </c>
      <c r="Q240" t="s">
        <v>40</v>
      </c>
      <c r="R240" t="s">
        <v>378</v>
      </c>
      <c r="S240">
        <v>4</v>
      </c>
      <c r="T240" t="s">
        <v>379</v>
      </c>
      <c r="U240">
        <v>0.17258327892515438</v>
      </c>
    </row>
    <row r="241" spans="1:21">
      <c r="A241">
        <v>192</v>
      </c>
      <c r="B241" s="1">
        <v>45752</v>
      </c>
      <c r="C241" t="s">
        <v>387</v>
      </c>
      <c r="D241" t="s">
        <v>388</v>
      </c>
      <c r="E241" t="s">
        <v>54</v>
      </c>
      <c r="F241" t="s">
        <v>127</v>
      </c>
      <c r="G241" t="s">
        <v>134</v>
      </c>
      <c r="H241" t="s">
        <v>26</v>
      </c>
      <c r="I241">
        <v>2</v>
      </c>
      <c r="J241">
        <v>21993.919999999998</v>
      </c>
      <c r="K241">
        <v>0.1</v>
      </c>
      <c r="L241">
        <v>39589.06</v>
      </c>
      <c r="M241">
        <v>36625.339999999997</v>
      </c>
      <c r="N241">
        <v>2963.72</v>
      </c>
      <c r="O241" t="s">
        <v>38</v>
      </c>
      <c r="P241" t="s">
        <v>39</v>
      </c>
      <c r="Q241" t="s">
        <v>29</v>
      </c>
      <c r="R241" t="s">
        <v>378</v>
      </c>
      <c r="S241">
        <v>4</v>
      </c>
      <c r="T241" t="s">
        <v>379</v>
      </c>
      <c r="U241">
        <v>7.4862095740590967E-2</v>
      </c>
    </row>
    <row r="242" spans="1:21">
      <c r="A242">
        <v>11</v>
      </c>
      <c r="B242" s="1">
        <v>45753</v>
      </c>
      <c r="C242" t="s">
        <v>385</v>
      </c>
      <c r="D242" t="s">
        <v>61</v>
      </c>
      <c r="E242" t="s">
        <v>54</v>
      </c>
      <c r="F242" t="s">
        <v>127</v>
      </c>
      <c r="G242" t="s">
        <v>105</v>
      </c>
      <c r="H242" t="s">
        <v>26</v>
      </c>
      <c r="I242">
        <v>4</v>
      </c>
      <c r="J242">
        <v>1413.72</v>
      </c>
      <c r="K242">
        <v>0</v>
      </c>
      <c r="L242">
        <v>5654.88</v>
      </c>
      <c r="M242">
        <v>3968.21</v>
      </c>
      <c r="N242">
        <v>1686.67</v>
      </c>
      <c r="O242" t="s">
        <v>38</v>
      </c>
      <c r="P242" t="s">
        <v>39</v>
      </c>
      <c r="Q242" t="s">
        <v>29</v>
      </c>
      <c r="R242" t="s">
        <v>378</v>
      </c>
      <c r="S242">
        <v>4</v>
      </c>
      <c r="T242" t="s">
        <v>379</v>
      </c>
      <c r="U242">
        <v>0.29826804459157402</v>
      </c>
    </row>
    <row r="243" spans="1:21">
      <c r="A243">
        <v>491</v>
      </c>
      <c r="B243" s="1">
        <v>45754</v>
      </c>
      <c r="C243" t="s">
        <v>389</v>
      </c>
      <c r="D243" t="s">
        <v>294</v>
      </c>
      <c r="E243" t="s">
        <v>76</v>
      </c>
      <c r="F243" t="s">
        <v>113</v>
      </c>
      <c r="G243" t="s">
        <v>59</v>
      </c>
      <c r="H243" t="s">
        <v>37</v>
      </c>
      <c r="I243">
        <v>2</v>
      </c>
      <c r="J243">
        <v>17360.64</v>
      </c>
      <c r="K243">
        <v>0.1</v>
      </c>
      <c r="L243">
        <v>31249.15</v>
      </c>
      <c r="M243">
        <v>30280.43</v>
      </c>
      <c r="N243">
        <v>968.72</v>
      </c>
      <c r="O243" t="s">
        <v>38</v>
      </c>
      <c r="P243" t="s">
        <v>39</v>
      </c>
      <c r="Q243" t="s">
        <v>29</v>
      </c>
      <c r="R243" t="s">
        <v>378</v>
      </c>
      <c r="S243">
        <v>4</v>
      </c>
      <c r="T243" t="s">
        <v>379</v>
      </c>
      <c r="U243">
        <v>3.0999883196822953E-2</v>
      </c>
    </row>
    <row r="244" spans="1:21">
      <c r="A244">
        <v>480</v>
      </c>
      <c r="B244" s="1">
        <v>45754</v>
      </c>
      <c r="C244" t="s">
        <v>390</v>
      </c>
      <c r="D244" t="s">
        <v>248</v>
      </c>
      <c r="E244" t="s">
        <v>54</v>
      </c>
      <c r="F244" t="s">
        <v>108</v>
      </c>
      <c r="G244" t="s">
        <v>145</v>
      </c>
      <c r="H244" t="s">
        <v>70</v>
      </c>
      <c r="I244">
        <v>4</v>
      </c>
      <c r="J244">
        <v>1761.9</v>
      </c>
      <c r="K244">
        <v>0.15</v>
      </c>
      <c r="L244">
        <v>5990.46</v>
      </c>
      <c r="M244">
        <v>4590.0600000000004</v>
      </c>
      <c r="N244">
        <v>1400.4</v>
      </c>
      <c r="O244" t="s">
        <v>38</v>
      </c>
      <c r="P244" t="s">
        <v>78</v>
      </c>
      <c r="Q244" t="s">
        <v>29</v>
      </c>
      <c r="R244" t="s">
        <v>378</v>
      </c>
      <c r="S244">
        <v>4</v>
      </c>
      <c r="T244" t="s">
        <v>379</v>
      </c>
      <c r="U244">
        <v>0.2337716969982272</v>
      </c>
    </row>
    <row r="245" spans="1:21">
      <c r="A245">
        <v>572</v>
      </c>
      <c r="B245" s="1">
        <v>45754</v>
      </c>
      <c r="C245" t="s">
        <v>391</v>
      </c>
      <c r="D245" t="s">
        <v>392</v>
      </c>
      <c r="E245" t="s">
        <v>34</v>
      </c>
      <c r="F245" t="s">
        <v>49</v>
      </c>
      <c r="G245" t="s">
        <v>50</v>
      </c>
      <c r="H245" t="s">
        <v>51</v>
      </c>
      <c r="I245">
        <v>1</v>
      </c>
      <c r="J245">
        <v>464.67</v>
      </c>
      <c r="K245">
        <v>0.05</v>
      </c>
      <c r="L245">
        <v>441.44</v>
      </c>
      <c r="M245">
        <v>330.61</v>
      </c>
      <c r="N245">
        <v>110.83</v>
      </c>
      <c r="O245" t="s">
        <v>27</v>
      </c>
      <c r="P245" t="s">
        <v>71</v>
      </c>
      <c r="Q245" t="s">
        <v>46</v>
      </c>
      <c r="R245" t="s">
        <v>378</v>
      </c>
      <c r="S245">
        <v>4</v>
      </c>
      <c r="T245" t="s">
        <v>379</v>
      </c>
      <c r="U245">
        <v>0.2510646973541138</v>
      </c>
    </row>
    <row r="246" spans="1:21">
      <c r="A246">
        <v>804</v>
      </c>
      <c r="B246" s="1">
        <v>45754</v>
      </c>
      <c r="C246" t="s">
        <v>393</v>
      </c>
      <c r="D246" t="s">
        <v>312</v>
      </c>
      <c r="E246" t="s">
        <v>23</v>
      </c>
      <c r="F246" t="s">
        <v>43</v>
      </c>
      <c r="G246" t="s">
        <v>145</v>
      </c>
      <c r="H246" t="s">
        <v>70</v>
      </c>
      <c r="I246">
        <v>4</v>
      </c>
      <c r="J246">
        <v>1333.77</v>
      </c>
      <c r="K246">
        <v>0.15</v>
      </c>
      <c r="L246">
        <v>4534.82</v>
      </c>
      <c r="M246">
        <v>4535.25</v>
      </c>
      <c r="N246">
        <v>-0.43</v>
      </c>
      <c r="O246" t="s">
        <v>27</v>
      </c>
      <c r="P246" t="s">
        <v>28</v>
      </c>
      <c r="Q246" t="s">
        <v>46</v>
      </c>
      <c r="R246" t="s">
        <v>378</v>
      </c>
      <c r="S246">
        <v>4</v>
      </c>
      <c r="T246" t="s">
        <v>379</v>
      </c>
      <c r="U246">
        <v>-9.4821845189004198E-5</v>
      </c>
    </row>
    <row r="247" spans="1:21">
      <c r="A247">
        <v>861</v>
      </c>
      <c r="B247" s="1">
        <v>45754</v>
      </c>
      <c r="C247" t="s">
        <v>93</v>
      </c>
      <c r="D247" t="s">
        <v>394</v>
      </c>
      <c r="E247" t="s">
        <v>76</v>
      </c>
      <c r="F247" t="s">
        <v>113</v>
      </c>
      <c r="G247" t="s">
        <v>36</v>
      </c>
      <c r="H247" t="s">
        <v>37</v>
      </c>
      <c r="I247">
        <v>1</v>
      </c>
      <c r="J247">
        <v>5699.34</v>
      </c>
      <c r="K247">
        <v>0.02</v>
      </c>
      <c r="L247">
        <v>5585.35</v>
      </c>
      <c r="M247">
        <v>4099.62</v>
      </c>
      <c r="N247">
        <v>1485.73</v>
      </c>
      <c r="O247" t="s">
        <v>38</v>
      </c>
      <c r="P247" t="s">
        <v>71</v>
      </c>
      <c r="Q247" t="s">
        <v>46</v>
      </c>
      <c r="R247" t="s">
        <v>378</v>
      </c>
      <c r="S247">
        <v>4</v>
      </c>
      <c r="T247" t="s">
        <v>379</v>
      </c>
      <c r="U247">
        <v>0.26600481617087557</v>
      </c>
    </row>
    <row r="248" spans="1:21">
      <c r="A248">
        <v>210</v>
      </c>
      <c r="B248" s="1">
        <v>45755</v>
      </c>
      <c r="C248" t="s">
        <v>93</v>
      </c>
      <c r="D248" t="s">
        <v>212</v>
      </c>
      <c r="E248" t="s">
        <v>34</v>
      </c>
      <c r="F248" t="s">
        <v>86</v>
      </c>
      <c r="G248" t="s">
        <v>66</v>
      </c>
      <c r="H248" t="s">
        <v>51</v>
      </c>
      <c r="I248">
        <v>1</v>
      </c>
      <c r="J248">
        <v>1331.01</v>
      </c>
      <c r="K248">
        <v>0</v>
      </c>
      <c r="L248">
        <v>1331.01</v>
      </c>
      <c r="M248">
        <v>1056.75</v>
      </c>
      <c r="N248">
        <v>274.26</v>
      </c>
      <c r="O248" t="s">
        <v>38</v>
      </c>
      <c r="P248" t="s">
        <v>78</v>
      </c>
      <c r="Q248" t="s">
        <v>46</v>
      </c>
      <c r="R248" t="s">
        <v>378</v>
      </c>
      <c r="S248">
        <v>4</v>
      </c>
      <c r="T248" t="s">
        <v>379</v>
      </c>
      <c r="U248">
        <v>0.20605404918069736</v>
      </c>
    </row>
    <row r="249" spans="1:21">
      <c r="A249">
        <v>59</v>
      </c>
      <c r="B249" s="1">
        <v>45755</v>
      </c>
      <c r="C249" t="s">
        <v>395</v>
      </c>
      <c r="D249" t="s">
        <v>396</v>
      </c>
      <c r="E249" t="s">
        <v>34</v>
      </c>
      <c r="F249" t="s">
        <v>35</v>
      </c>
      <c r="G249" t="s">
        <v>105</v>
      </c>
      <c r="H249" t="s">
        <v>26</v>
      </c>
      <c r="I249">
        <v>2</v>
      </c>
      <c r="J249">
        <v>7341.43</v>
      </c>
      <c r="K249">
        <v>0.02</v>
      </c>
      <c r="L249">
        <v>14389.2</v>
      </c>
      <c r="M249">
        <v>10441.76</v>
      </c>
      <c r="N249">
        <v>3947.44</v>
      </c>
      <c r="O249" t="s">
        <v>27</v>
      </c>
      <c r="P249" t="s">
        <v>28</v>
      </c>
      <c r="Q249" t="s">
        <v>46</v>
      </c>
      <c r="R249" t="s">
        <v>378</v>
      </c>
      <c r="S249">
        <v>4</v>
      </c>
      <c r="T249" t="s">
        <v>379</v>
      </c>
      <c r="U249">
        <v>0.27433352792372057</v>
      </c>
    </row>
    <row r="250" spans="1:21">
      <c r="A250">
        <v>880</v>
      </c>
      <c r="B250" s="1">
        <v>45755</v>
      </c>
      <c r="C250" t="s">
        <v>190</v>
      </c>
      <c r="D250" t="s">
        <v>271</v>
      </c>
      <c r="E250" t="s">
        <v>23</v>
      </c>
      <c r="F250" t="s">
        <v>43</v>
      </c>
      <c r="G250" t="s">
        <v>66</v>
      </c>
      <c r="H250" t="s">
        <v>51</v>
      </c>
      <c r="I250">
        <v>2</v>
      </c>
      <c r="J250">
        <v>3050.61</v>
      </c>
      <c r="K250">
        <v>0.15</v>
      </c>
      <c r="L250">
        <v>5186.04</v>
      </c>
      <c r="M250">
        <v>4649.88</v>
      </c>
      <c r="N250">
        <v>536.16</v>
      </c>
      <c r="O250" t="s">
        <v>27</v>
      </c>
      <c r="P250" t="s">
        <v>28</v>
      </c>
      <c r="Q250" t="s">
        <v>40</v>
      </c>
      <c r="R250" t="s">
        <v>378</v>
      </c>
      <c r="S250">
        <v>4</v>
      </c>
      <c r="T250" t="s">
        <v>379</v>
      </c>
      <c r="U250">
        <v>0.10338524191868941</v>
      </c>
    </row>
    <row r="251" spans="1:21">
      <c r="A251">
        <v>486</v>
      </c>
      <c r="B251" s="1">
        <v>45755</v>
      </c>
      <c r="C251" t="s">
        <v>397</v>
      </c>
      <c r="D251" t="s">
        <v>188</v>
      </c>
      <c r="E251" t="s">
        <v>76</v>
      </c>
      <c r="F251" t="s">
        <v>77</v>
      </c>
      <c r="G251" t="s">
        <v>50</v>
      </c>
      <c r="H251" t="s">
        <v>51</v>
      </c>
      <c r="I251">
        <v>2</v>
      </c>
      <c r="J251">
        <v>1386.36</v>
      </c>
      <c r="K251">
        <v>0.05</v>
      </c>
      <c r="L251">
        <v>2634.08</v>
      </c>
      <c r="M251">
        <v>1957.1</v>
      </c>
      <c r="N251">
        <v>676.98</v>
      </c>
      <c r="O251" t="s">
        <v>27</v>
      </c>
      <c r="P251" t="s">
        <v>45</v>
      </c>
      <c r="Q251" t="s">
        <v>46</v>
      </c>
      <c r="R251" t="s">
        <v>378</v>
      </c>
      <c r="S251">
        <v>4</v>
      </c>
      <c r="T251" t="s">
        <v>379</v>
      </c>
      <c r="U251">
        <v>0.25700813946425316</v>
      </c>
    </row>
    <row r="252" spans="1:21">
      <c r="A252">
        <v>474</v>
      </c>
      <c r="B252" s="1">
        <v>45756</v>
      </c>
      <c r="C252" t="s">
        <v>398</v>
      </c>
      <c r="D252" t="s">
        <v>399</v>
      </c>
      <c r="E252" t="s">
        <v>97</v>
      </c>
      <c r="F252" t="s">
        <v>104</v>
      </c>
      <c r="G252" t="s">
        <v>69</v>
      </c>
      <c r="H252" t="s">
        <v>70</v>
      </c>
      <c r="I252">
        <v>1</v>
      </c>
      <c r="J252">
        <v>3449.35</v>
      </c>
      <c r="K252">
        <v>0.1</v>
      </c>
      <c r="L252">
        <v>3104.41</v>
      </c>
      <c r="M252">
        <v>2976.12</v>
      </c>
      <c r="N252">
        <v>128.29</v>
      </c>
      <c r="O252" t="s">
        <v>38</v>
      </c>
      <c r="P252" t="s">
        <v>71</v>
      </c>
      <c r="Q252" t="s">
        <v>29</v>
      </c>
      <c r="R252" t="s">
        <v>378</v>
      </c>
      <c r="S252">
        <v>4</v>
      </c>
      <c r="T252" t="s">
        <v>379</v>
      </c>
      <c r="U252">
        <v>4.1325082704926221E-2</v>
      </c>
    </row>
    <row r="253" spans="1:21">
      <c r="A253">
        <v>913</v>
      </c>
      <c r="B253" s="1">
        <v>45757</v>
      </c>
      <c r="C253" t="s">
        <v>400</v>
      </c>
      <c r="D253" t="s">
        <v>375</v>
      </c>
      <c r="E253" t="s">
        <v>97</v>
      </c>
      <c r="F253" t="s">
        <v>98</v>
      </c>
      <c r="G253" t="s">
        <v>44</v>
      </c>
      <c r="H253" t="s">
        <v>26</v>
      </c>
      <c r="I253">
        <v>2</v>
      </c>
      <c r="J253">
        <v>62879.56</v>
      </c>
      <c r="K253">
        <v>0.1</v>
      </c>
      <c r="L253">
        <v>113183.21</v>
      </c>
      <c r="M253">
        <v>83471.360000000001</v>
      </c>
      <c r="N253">
        <v>29711.85</v>
      </c>
      <c r="O253" t="s">
        <v>38</v>
      </c>
      <c r="P253" t="s">
        <v>78</v>
      </c>
      <c r="Q253" t="s">
        <v>29</v>
      </c>
      <c r="R253" t="s">
        <v>378</v>
      </c>
      <c r="S253">
        <v>4</v>
      </c>
      <c r="T253" t="s">
        <v>379</v>
      </c>
      <c r="U253">
        <v>0.26251110920073745</v>
      </c>
    </row>
    <row r="254" spans="1:21">
      <c r="A254">
        <v>15</v>
      </c>
      <c r="B254" s="1">
        <v>45758</v>
      </c>
      <c r="C254" t="s">
        <v>336</v>
      </c>
      <c r="D254" t="s">
        <v>228</v>
      </c>
      <c r="E254" t="s">
        <v>97</v>
      </c>
      <c r="F254" t="s">
        <v>148</v>
      </c>
      <c r="G254" t="s">
        <v>99</v>
      </c>
      <c r="H254" t="s">
        <v>26</v>
      </c>
      <c r="I254">
        <v>4</v>
      </c>
      <c r="J254">
        <v>14184.4</v>
      </c>
      <c r="K254">
        <v>0.02</v>
      </c>
      <c r="L254">
        <v>55602.85</v>
      </c>
      <c r="M254">
        <v>45684.57</v>
      </c>
      <c r="N254">
        <v>9918.2800000000007</v>
      </c>
      <c r="O254" t="s">
        <v>38</v>
      </c>
      <c r="P254" t="s">
        <v>28</v>
      </c>
      <c r="Q254" t="s">
        <v>40</v>
      </c>
      <c r="R254" t="s">
        <v>378</v>
      </c>
      <c r="S254">
        <v>4</v>
      </c>
      <c r="T254" t="s">
        <v>379</v>
      </c>
      <c r="U254">
        <v>0.17837718750028103</v>
      </c>
    </row>
    <row r="255" spans="1:21">
      <c r="A255">
        <v>216</v>
      </c>
      <c r="B255" s="1">
        <v>45758</v>
      </c>
      <c r="C255" t="s">
        <v>401</v>
      </c>
      <c r="D255" t="s">
        <v>402</v>
      </c>
      <c r="E255" t="s">
        <v>97</v>
      </c>
      <c r="F255" t="s">
        <v>98</v>
      </c>
      <c r="G255" t="s">
        <v>59</v>
      </c>
      <c r="H255" t="s">
        <v>37</v>
      </c>
      <c r="I255">
        <v>2</v>
      </c>
      <c r="J255">
        <v>7394.92</v>
      </c>
      <c r="K255">
        <v>0.1</v>
      </c>
      <c r="L255">
        <v>13310.86</v>
      </c>
      <c r="M255">
        <v>12324.35</v>
      </c>
      <c r="N255">
        <v>986.51</v>
      </c>
      <c r="O255" t="s">
        <v>38</v>
      </c>
      <c r="P255" t="s">
        <v>28</v>
      </c>
      <c r="Q255" t="s">
        <v>46</v>
      </c>
      <c r="R255" t="s">
        <v>378</v>
      </c>
      <c r="S255">
        <v>4</v>
      </c>
      <c r="T255" t="s">
        <v>379</v>
      </c>
      <c r="U255">
        <v>7.4113167744232905E-2</v>
      </c>
    </row>
    <row r="256" spans="1:21">
      <c r="A256">
        <v>324</v>
      </c>
      <c r="B256" s="1">
        <v>45759</v>
      </c>
      <c r="C256" t="s">
        <v>267</v>
      </c>
      <c r="D256" t="s">
        <v>403</v>
      </c>
      <c r="E256" t="s">
        <v>54</v>
      </c>
      <c r="F256" t="s">
        <v>55</v>
      </c>
      <c r="G256" t="s">
        <v>44</v>
      </c>
      <c r="H256" t="s">
        <v>26</v>
      </c>
      <c r="I256">
        <v>3</v>
      </c>
      <c r="J256">
        <v>70288.81</v>
      </c>
      <c r="K256">
        <v>0.02</v>
      </c>
      <c r="L256">
        <v>206649.1</v>
      </c>
      <c r="M256">
        <v>153148.51</v>
      </c>
      <c r="N256">
        <v>53500.59</v>
      </c>
      <c r="O256" t="s">
        <v>38</v>
      </c>
      <c r="P256" t="s">
        <v>45</v>
      </c>
      <c r="Q256" t="s">
        <v>29</v>
      </c>
      <c r="R256" t="s">
        <v>378</v>
      </c>
      <c r="S256">
        <v>4</v>
      </c>
      <c r="T256" t="s">
        <v>379</v>
      </c>
      <c r="U256">
        <v>0.25889582872608685</v>
      </c>
    </row>
    <row r="257" spans="1:21">
      <c r="A257">
        <v>426</v>
      </c>
      <c r="B257" s="1">
        <v>45759</v>
      </c>
      <c r="C257" t="s">
        <v>277</v>
      </c>
      <c r="D257" t="s">
        <v>404</v>
      </c>
      <c r="E257" t="s">
        <v>54</v>
      </c>
      <c r="F257" t="s">
        <v>127</v>
      </c>
      <c r="G257" t="s">
        <v>99</v>
      </c>
      <c r="H257" t="s">
        <v>26</v>
      </c>
      <c r="I257">
        <v>2</v>
      </c>
      <c r="J257">
        <v>24822.91</v>
      </c>
      <c r="K257">
        <v>0.05</v>
      </c>
      <c r="L257">
        <v>47163.53</v>
      </c>
      <c r="M257">
        <v>37233.839999999997</v>
      </c>
      <c r="N257">
        <v>9929.69</v>
      </c>
      <c r="O257" t="s">
        <v>38</v>
      </c>
      <c r="P257" t="s">
        <v>71</v>
      </c>
      <c r="Q257" t="s">
        <v>29</v>
      </c>
      <c r="R257" t="s">
        <v>378</v>
      </c>
      <c r="S257">
        <v>4</v>
      </c>
      <c r="T257" t="s">
        <v>379</v>
      </c>
      <c r="U257">
        <v>0.21053746401085754</v>
      </c>
    </row>
    <row r="258" spans="1:21">
      <c r="A258">
        <v>217</v>
      </c>
      <c r="B258" s="1">
        <v>45759</v>
      </c>
      <c r="C258" t="s">
        <v>168</v>
      </c>
      <c r="D258" t="s">
        <v>159</v>
      </c>
      <c r="E258" t="s">
        <v>97</v>
      </c>
      <c r="F258" t="s">
        <v>104</v>
      </c>
      <c r="G258" t="s">
        <v>59</v>
      </c>
      <c r="H258" t="s">
        <v>37</v>
      </c>
      <c r="I258">
        <v>3</v>
      </c>
      <c r="J258">
        <v>6591.64</v>
      </c>
      <c r="K258">
        <v>0.15</v>
      </c>
      <c r="L258">
        <v>16808.68</v>
      </c>
      <c r="M258">
        <v>13921.21</v>
      </c>
      <c r="N258">
        <v>2887.47</v>
      </c>
      <c r="O258" t="s">
        <v>38</v>
      </c>
      <c r="P258" t="s">
        <v>39</v>
      </c>
      <c r="Q258" t="s">
        <v>29</v>
      </c>
      <c r="R258" t="s">
        <v>378</v>
      </c>
      <c r="S258">
        <v>4</v>
      </c>
      <c r="T258" t="s">
        <v>379</v>
      </c>
      <c r="U258">
        <v>0.17178445898190695</v>
      </c>
    </row>
    <row r="259" spans="1:21">
      <c r="A259">
        <v>621</v>
      </c>
      <c r="B259" s="1">
        <v>45760</v>
      </c>
      <c r="C259" t="s">
        <v>393</v>
      </c>
      <c r="D259" t="s">
        <v>405</v>
      </c>
      <c r="E259" t="s">
        <v>34</v>
      </c>
      <c r="F259" t="s">
        <v>86</v>
      </c>
      <c r="G259" t="s">
        <v>62</v>
      </c>
      <c r="H259" t="s">
        <v>63</v>
      </c>
      <c r="I259">
        <v>3</v>
      </c>
      <c r="J259">
        <v>292.49</v>
      </c>
      <c r="K259">
        <v>0.05</v>
      </c>
      <c r="L259">
        <v>833.6</v>
      </c>
      <c r="M259">
        <v>655.66</v>
      </c>
      <c r="N259">
        <v>177.94</v>
      </c>
      <c r="O259" t="s">
        <v>38</v>
      </c>
      <c r="P259" t="s">
        <v>71</v>
      </c>
      <c r="Q259" t="s">
        <v>40</v>
      </c>
      <c r="R259" t="s">
        <v>378</v>
      </c>
      <c r="S259">
        <v>4</v>
      </c>
      <c r="T259" t="s">
        <v>379</v>
      </c>
      <c r="U259">
        <v>0.21345969289827255</v>
      </c>
    </row>
    <row r="260" spans="1:21">
      <c r="A260">
        <v>107</v>
      </c>
      <c r="B260" s="1">
        <v>45760</v>
      </c>
      <c r="C260" t="s">
        <v>406</v>
      </c>
      <c r="D260" t="s">
        <v>407</v>
      </c>
      <c r="E260" t="s">
        <v>34</v>
      </c>
      <c r="F260" t="s">
        <v>35</v>
      </c>
      <c r="G260" t="s">
        <v>59</v>
      </c>
      <c r="H260" t="s">
        <v>37</v>
      </c>
      <c r="I260">
        <v>4</v>
      </c>
      <c r="J260">
        <v>15339.44</v>
      </c>
      <c r="K260">
        <v>0.1</v>
      </c>
      <c r="L260">
        <v>55221.98</v>
      </c>
      <c r="M260">
        <v>51514.92</v>
      </c>
      <c r="N260">
        <v>3707.06</v>
      </c>
      <c r="O260" t="s">
        <v>38</v>
      </c>
      <c r="P260" t="s">
        <v>39</v>
      </c>
      <c r="Q260" t="s">
        <v>29</v>
      </c>
      <c r="R260" t="s">
        <v>378</v>
      </c>
      <c r="S260">
        <v>4</v>
      </c>
      <c r="T260" t="s">
        <v>379</v>
      </c>
      <c r="U260">
        <v>6.7130153609124471E-2</v>
      </c>
    </row>
    <row r="261" spans="1:21">
      <c r="A261">
        <v>194</v>
      </c>
      <c r="B261" s="1">
        <v>45761</v>
      </c>
      <c r="C261" t="s">
        <v>408</v>
      </c>
      <c r="D261" t="s">
        <v>409</v>
      </c>
      <c r="E261" t="s">
        <v>34</v>
      </c>
      <c r="F261" t="s">
        <v>49</v>
      </c>
      <c r="G261" t="s">
        <v>36</v>
      </c>
      <c r="H261" t="s">
        <v>37</v>
      </c>
      <c r="I261">
        <v>2</v>
      </c>
      <c r="J261">
        <v>6960.15</v>
      </c>
      <c r="K261">
        <v>0.05</v>
      </c>
      <c r="L261">
        <v>13224.28</v>
      </c>
      <c r="M261">
        <v>12220.22</v>
      </c>
      <c r="N261">
        <v>1004.06</v>
      </c>
      <c r="O261" t="s">
        <v>38</v>
      </c>
      <c r="P261" t="s">
        <v>39</v>
      </c>
      <c r="Q261" t="s">
        <v>46</v>
      </c>
      <c r="R261" t="s">
        <v>378</v>
      </c>
      <c r="S261">
        <v>4</v>
      </c>
      <c r="T261" t="s">
        <v>379</v>
      </c>
      <c r="U261">
        <v>7.5925494620501077E-2</v>
      </c>
    </row>
    <row r="262" spans="1:21">
      <c r="A262">
        <v>251</v>
      </c>
      <c r="B262" s="1">
        <v>45761</v>
      </c>
      <c r="C262" t="s">
        <v>123</v>
      </c>
      <c r="D262" t="s">
        <v>396</v>
      </c>
      <c r="E262" t="s">
        <v>34</v>
      </c>
      <c r="F262" t="s">
        <v>35</v>
      </c>
      <c r="G262" t="s">
        <v>99</v>
      </c>
      <c r="H262" t="s">
        <v>26</v>
      </c>
      <c r="I262">
        <v>1</v>
      </c>
      <c r="J262">
        <v>17437.349999999999</v>
      </c>
      <c r="K262">
        <v>0.05</v>
      </c>
      <c r="L262">
        <v>16565.48</v>
      </c>
      <c r="M262">
        <v>14802.25</v>
      </c>
      <c r="N262">
        <v>1763.23</v>
      </c>
      <c r="O262" t="s">
        <v>27</v>
      </c>
      <c r="P262" t="s">
        <v>45</v>
      </c>
      <c r="Q262" t="s">
        <v>46</v>
      </c>
      <c r="R262" t="s">
        <v>378</v>
      </c>
      <c r="S262">
        <v>4</v>
      </c>
      <c r="T262" t="s">
        <v>379</v>
      </c>
      <c r="U262">
        <v>0.10644001864117431</v>
      </c>
    </row>
    <row r="263" spans="1:21">
      <c r="A263">
        <v>21</v>
      </c>
      <c r="B263" s="1">
        <v>45761</v>
      </c>
      <c r="C263" t="s">
        <v>251</v>
      </c>
      <c r="D263" t="s">
        <v>410</v>
      </c>
      <c r="E263" t="s">
        <v>54</v>
      </c>
      <c r="F263" t="s">
        <v>108</v>
      </c>
      <c r="G263" t="s">
        <v>36</v>
      </c>
      <c r="H263" t="s">
        <v>37</v>
      </c>
      <c r="I263">
        <v>2</v>
      </c>
      <c r="J263">
        <v>14653.24</v>
      </c>
      <c r="K263">
        <v>0.05</v>
      </c>
      <c r="L263">
        <v>27841.16</v>
      </c>
      <c r="M263">
        <v>25299.26</v>
      </c>
      <c r="N263">
        <v>2541.9</v>
      </c>
      <c r="O263" t="s">
        <v>27</v>
      </c>
      <c r="P263" t="s">
        <v>28</v>
      </c>
      <c r="Q263" t="s">
        <v>46</v>
      </c>
      <c r="R263" t="s">
        <v>378</v>
      </c>
      <c r="S263">
        <v>4</v>
      </c>
      <c r="T263" t="s">
        <v>379</v>
      </c>
      <c r="U263">
        <v>9.1300075140547304E-2</v>
      </c>
    </row>
    <row r="264" spans="1:21">
      <c r="A264">
        <v>798</v>
      </c>
      <c r="B264" s="1">
        <v>45762</v>
      </c>
      <c r="C264" t="s">
        <v>296</v>
      </c>
      <c r="D264" t="s">
        <v>333</v>
      </c>
      <c r="E264" t="s">
        <v>76</v>
      </c>
      <c r="F264" t="s">
        <v>81</v>
      </c>
      <c r="G264" t="s">
        <v>44</v>
      </c>
      <c r="H264" t="s">
        <v>26</v>
      </c>
      <c r="I264">
        <v>3</v>
      </c>
      <c r="J264">
        <v>59149.39</v>
      </c>
      <c r="K264">
        <v>0</v>
      </c>
      <c r="L264">
        <v>177448.17</v>
      </c>
      <c r="M264">
        <v>131752.03</v>
      </c>
      <c r="N264">
        <v>45696.14</v>
      </c>
      <c r="O264" t="s">
        <v>38</v>
      </c>
      <c r="P264" t="s">
        <v>39</v>
      </c>
      <c r="Q264" t="s">
        <v>46</v>
      </c>
      <c r="R264" t="s">
        <v>378</v>
      </c>
      <c r="S264">
        <v>4</v>
      </c>
      <c r="T264" t="s">
        <v>379</v>
      </c>
      <c r="U264">
        <v>0.25751823757889414</v>
      </c>
    </row>
    <row r="265" spans="1:21">
      <c r="A265">
        <v>140</v>
      </c>
      <c r="B265" s="1">
        <v>45762</v>
      </c>
      <c r="C265" t="s">
        <v>87</v>
      </c>
      <c r="D265" t="s">
        <v>184</v>
      </c>
      <c r="E265" t="s">
        <v>54</v>
      </c>
      <c r="F265" t="s">
        <v>108</v>
      </c>
      <c r="G265" t="s">
        <v>99</v>
      </c>
      <c r="H265" t="s">
        <v>26</v>
      </c>
      <c r="I265">
        <v>1</v>
      </c>
      <c r="J265">
        <v>19601.740000000002</v>
      </c>
      <c r="K265">
        <v>0</v>
      </c>
      <c r="L265">
        <v>19601.740000000002</v>
      </c>
      <c r="M265">
        <v>14772.63</v>
      </c>
      <c r="N265">
        <v>4829.1099999999997</v>
      </c>
      <c r="O265" t="s">
        <v>27</v>
      </c>
      <c r="P265" t="s">
        <v>78</v>
      </c>
      <c r="Q265" t="s">
        <v>40</v>
      </c>
      <c r="R265" t="s">
        <v>378</v>
      </c>
      <c r="S265">
        <v>4</v>
      </c>
      <c r="T265" t="s">
        <v>379</v>
      </c>
      <c r="U265">
        <v>0.24636129241587734</v>
      </c>
    </row>
    <row r="266" spans="1:21">
      <c r="A266">
        <v>116</v>
      </c>
      <c r="B266" s="1">
        <v>45762</v>
      </c>
      <c r="C266" t="s">
        <v>342</v>
      </c>
      <c r="D266" t="s">
        <v>314</v>
      </c>
      <c r="E266" t="s">
        <v>76</v>
      </c>
      <c r="F266" t="s">
        <v>113</v>
      </c>
      <c r="G266" t="s">
        <v>25</v>
      </c>
      <c r="H266" t="s">
        <v>26</v>
      </c>
      <c r="I266">
        <v>3</v>
      </c>
      <c r="J266">
        <v>15487.04</v>
      </c>
      <c r="K266">
        <v>0.15</v>
      </c>
      <c r="L266">
        <v>39491.949999999997</v>
      </c>
      <c r="M266">
        <v>29911.05</v>
      </c>
      <c r="N266">
        <v>9580.9</v>
      </c>
      <c r="O266" t="s">
        <v>38</v>
      </c>
      <c r="P266" t="s">
        <v>39</v>
      </c>
      <c r="Q266" t="s">
        <v>29</v>
      </c>
      <c r="R266" t="s">
        <v>378</v>
      </c>
      <c r="S266">
        <v>4</v>
      </c>
      <c r="T266" t="s">
        <v>379</v>
      </c>
      <c r="U266">
        <v>0.24260387243476203</v>
      </c>
    </row>
    <row r="267" spans="1:21">
      <c r="A267">
        <v>876</v>
      </c>
      <c r="B267" s="1">
        <v>45762</v>
      </c>
      <c r="C267" t="s">
        <v>328</v>
      </c>
      <c r="D267" t="s">
        <v>411</v>
      </c>
      <c r="E267" t="s">
        <v>34</v>
      </c>
      <c r="F267" t="s">
        <v>86</v>
      </c>
      <c r="G267" t="s">
        <v>145</v>
      </c>
      <c r="H267" t="s">
        <v>70</v>
      </c>
      <c r="I267">
        <v>1</v>
      </c>
      <c r="J267">
        <v>1668.69</v>
      </c>
      <c r="K267">
        <v>0</v>
      </c>
      <c r="L267">
        <v>1668.69</v>
      </c>
      <c r="M267">
        <v>1101.76</v>
      </c>
      <c r="N267">
        <v>566.92999999999995</v>
      </c>
      <c r="O267" t="s">
        <v>38</v>
      </c>
      <c r="P267" t="s">
        <v>71</v>
      </c>
      <c r="Q267" t="s">
        <v>29</v>
      </c>
      <c r="R267" t="s">
        <v>378</v>
      </c>
      <c r="S267">
        <v>4</v>
      </c>
      <c r="T267" t="s">
        <v>379</v>
      </c>
      <c r="U267">
        <v>0.33974554890363096</v>
      </c>
    </row>
    <row r="268" spans="1:21">
      <c r="A268">
        <v>239</v>
      </c>
      <c r="B268" s="1">
        <v>45762</v>
      </c>
      <c r="C268" t="s">
        <v>215</v>
      </c>
      <c r="D268" t="s">
        <v>412</v>
      </c>
      <c r="E268" t="s">
        <v>97</v>
      </c>
      <c r="F268" t="s">
        <v>148</v>
      </c>
      <c r="G268" t="s">
        <v>105</v>
      </c>
      <c r="H268" t="s">
        <v>26</v>
      </c>
      <c r="I268">
        <v>4</v>
      </c>
      <c r="J268">
        <v>3612.44</v>
      </c>
      <c r="K268">
        <v>0.02</v>
      </c>
      <c r="L268">
        <v>14160.76</v>
      </c>
      <c r="M268">
        <v>11470.64</v>
      </c>
      <c r="N268">
        <v>2690.12</v>
      </c>
      <c r="O268" t="s">
        <v>27</v>
      </c>
      <c r="P268" t="s">
        <v>45</v>
      </c>
      <c r="Q268" t="s">
        <v>46</v>
      </c>
      <c r="R268" t="s">
        <v>378</v>
      </c>
      <c r="S268">
        <v>4</v>
      </c>
      <c r="T268" t="s">
        <v>379</v>
      </c>
      <c r="U268">
        <v>0.18997002985715455</v>
      </c>
    </row>
    <row r="269" spans="1:21">
      <c r="A269">
        <v>530</v>
      </c>
      <c r="B269" s="1">
        <v>45762</v>
      </c>
      <c r="C269" t="s">
        <v>401</v>
      </c>
      <c r="D269" t="s">
        <v>234</v>
      </c>
      <c r="E269" t="s">
        <v>23</v>
      </c>
      <c r="F269" t="s">
        <v>58</v>
      </c>
      <c r="G269" t="s">
        <v>69</v>
      </c>
      <c r="H269" t="s">
        <v>70</v>
      </c>
      <c r="I269">
        <v>1</v>
      </c>
      <c r="J269">
        <v>1287.78</v>
      </c>
      <c r="K269">
        <v>0</v>
      </c>
      <c r="L269">
        <v>1287.78</v>
      </c>
      <c r="M269">
        <v>907.65</v>
      </c>
      <c r="N269">
        <v>380.13</v>
      </c>
      <c r="O269" t="s">
        <v>38</v>
      </c>
      <c r="P269" t="s">
        <v>45</v>
      </c>
      <c r="Q269" t="s">
        <v>46</v>
      </c>
      <c r="R269" t="s">
        <v>378</v>
      </c>
      <c r="S269">
        <v>4</v>
      </c>
      <c r="T269" t="s">
        <v>379</v>
      </c>
      <c r="U269">
        <v>0.29518240693286119</v>
      </c>
    </row>
    <row r="270" spans="1:21">
      <c r="A270">
        <v>586</v>
      </c>
      <c r="B270" s="1">
        <v>45763</v>
      </c>
      <c r="C270" t="s">
        <v>413</v>
      </c>
      <c r="D270" t="s">
        <v>245</v>
      </c>
      <c r="E270" t="s">
        <v>34</v>
      </c>
      <c r="F270" t="s">
        <v>86</v>
      </c>
      <c r="G270" t="s">
        <v>59</v>
      </c>
      <c r="H270" t="s">
        <v>37</v>
      </c>
      <c r="I270">
        <v>2</v>
      </c>
      <c r="J270">
        <v>7830.73</v>
      </c>
      <c r="K270">
        <v>0.05</v>
      </c>
      <c r="L270">
        <v>14878.39</v>
      </c>
      <c r="M270">
        <v>12045.11</v>
      </c>
      <c r="N270">
        <v>2833.28</v>
      </c>
      <c r="O270" t="s">
        <v>38</v>
      </c>
      <c r="P270" t="s">
        <v>28</v>
      </c>
      <c r="Q270" t="s">
        <v>29</v>
      </c>
      <c r="R270" t="s">
        <v>378</v>
      </c>
      <c r="S270">
        <v>4</v>
      </c>
      <c r="T270" t="s">
        <v>379</v>
      </c>
      <c r="U270">
        <v>0.19042920638590602</v>
      </c>
    </row>
    <row r="271" spans="1:21">
      <c r="A271">
        <v>551</v>
      </c>
      <c r="B271" s="1">
        <v>45763</v>
      </c>
      <c r="C271" t="s">
        <v>341</v>
      </c>
      <c r="D271" t="s">
        <v>221</v>
      </c>
      <c r="E271" t="s">
        <v>54</v>
      </c>
      <c r="F271" t="s">
        <v>55</v>
      </c>
      <c r="G271" t="s">
        <v>36</v>
      </c>
      <c r="H271" t="s">
        <v>37</v>
      </c>
      <c r="I271">
        <v>4</v>
      </c>
      <c r="J271">
        <v>5667.63</v>
      </c>
      <c r="K271">
        <v>0</v>
      </c>
      <c r="L271">
        <v>22670.52</v>
      </c>
      <c r="M271">
        <v>14338.14</v>
      </c>
      <c r="N271">
        <v>8332.3799999999992</v>
      </c>
      <c r="O271" t="s">
        <v>27</v>
      </c>
      <c r="P271" t="s">
        <v>45</v>
      </c>
      <c r="Q271" t="s">
        <v>40</v>
      </c>
      <c r="R271" t="s">
        <v>378</v>
      </c>
      <c r="S271">
        <v>4</v>
      </c>
      <c r="T271" t="s">
        <v>379</v>
      </c>
      <c r="U271">
        <v>0.36754251777197872</v>
      </c>
    </row>
    <row r="272" spans="1:21">
      <c r="A272">
        <v>363</v>
      </c>
      <c r="B272" s="1">
        <v>45763</v>
      </c>
      <c r="C272" t="s">
        <v>414</v>
      </c>
      <c r="D272" t="s">
        <v>242</v>
      </c>
      <c r="E272" t="s">
        <v>23</v>
      </c>
      <c r="F272" t="s">
        <v>24</v>
      </c>
      <c r="G272" t="s">
        <v>59</v>
      </c>
      <c r="H272" t="s">
        <v>37</v>
      </c>
      <c r="I272">
        <v>4</v>
      </c>
      <c r="J272">
        <v>6069.54</v>
      </c>
      <c r="K272">
        <v>0.02</v>
      </c>
      <c r="L272">
        <v>23792.6</v>
      </c>
      <c r="M272">
        <v>20243.59</v>
      </c>
      <c r="N272">
        <v>3549.01</v>
      </c>
      <c r="O272" t="s">
        <v>27</v>
      </c>
      <c r="P272" t="s">
        <v>28</v>
      </c>
      <c r="Q272" t="s">
        <v>40</v>
      </c>
      <c r="R272" t="s">
        <v>378</v>
      </c>
      <c r="S272">
        <v>4</v>
      </c>
      <c r="T272" t="s">
        <v>379</v>
      </c>
      <c r="U272">
        <v>0.14916444608827956</v>
      </c>
    </row>
    <row r="273" spans="1:21">
      <c r="A273">
        <v>397</v>
      </c>
      <c r="B273" s="1">
        <v>45763</v>
      </c>
      <c r="C273" t="s">
        <v>415</v>
      </c>
      <c r="D273" t="s">
        <v>416</v>
      </c>
      <c r="E273" t="s">
        <v>34</v>
      </c>
      <c r="F273" t="s">
        <v>86</v>
      </c>
      <c r="G273" t="s">
        <v>69</v>
      </c>
      <c r="H273" t="s">
        <v>70</v>
      </c>
      <c r="I273">
        <v>3</v>
      </c>
      <c r="J273">
        <v>3234.27</v>
      </c>
      <c r="K273">
        <v>0.05</v>
      </c>
      <c r="L273">
        <v>9217.67</v>
      </c>
      <c r="M273">
        <v>7426.97</v>
      </c>
      <c r="N273">
        <v>1790.7</v>
      </c>
      <c r="O273" t="s">
        <v>38</v>
      </c>
      <c r="P273" t="s">
        <v>78</v>
      </c>
      <c r="Q273" t="s">
        <v>46</v>
      </c>
      <c r="R273" t="s">
        <v>378</v>
      </c>
      <c r="S273">
        <v>4</v>
      </c>
      <c r="T273" t="s">
        <v>379</v>
      </c>
      <c r="U273">
        <v>0.19426818274032376</v>
      </c>
    </row>
    <row r="274" spans="1:21">
      <c r="A274">
        <v>508</v>
      </c>
      <c r="B274" s="1">
        <v>45764</v>
      </c>
      <c r="C274" t="s">
        <v>323</v>
      </c>
      <c r="D274" t="s">
        <v>186</v>
      </c>
      <c r="E274" t="s">
        <v>76</v>
      </c>
      <c r="F274" t="s">
        <v>81</v>
      </c>
      <c r="G274" t="s">
        <v>36</v>
      </c>
      <c r="H274" t="s">
        <v>37</v>
      </c>
      <c r="I274">
        <v>1</v>
      </c>
      <c r="J274">
        <v>9681.23</v>
      </c>
      <c r="K274">
        <v>0.1</v>
      </c>
      <c r="L274">
        <v>8713.11</v>
      </c>
      <c r="M274">
        <v>8191.38</v>
      </c>
      <c r="N274">
        <v>521.73</v>
      </c>
      <c r="O274" t="s">
        <v>38</v>
      </c>
      <c r="P274" t="s">
        <v>39</v>
      </c>
      <c r="Q274" t="s">
        <v>40</v>
      </c>
      <c r="R274" t="s">
        <v>378</v>
      </c>
      <c r="S274">
        <v>4</v>
      </c>
      <c r="T274" t="s">
        <v>379</v>
      </c>
      <c r="U274">
        <v>5.9878734458763863E-2</v>
      </c>
    </row>
    <row r="275" spans="1:21">
      <c r="A275">
        <v>879</v>
      </c>
      <c r="B275" s="1">
        <v>45764</v>
      </c>
      <c r="C275" t="s">
        <v>417</v>
      </c>
      <c r="D275" t="s">
        <v>418</v>
      </c>
      <c r="E275" t="s">
        <v>23</v>
      </c>
      <c r="F275" t="s">
        <v>24</v>
      </c>
      <c r="G275" t="s">
        <v>66</v>
      </c>
      <c r="H275" t="s">
        <v>51</v>
      </c>
      <c r="I275">
        <v>1</v>
      </c>
      <c r="J275">
        <v>1475.88</v>
      </c>
      <c r="K275">
        <v>0.15</v>
      </c>
      <c r="L275">
        <v>1254.5</v>
      </c>
      <c r="M275">
        <v>1026.02</v>
      </c>
      <c r="N275">
        <v>228.48</v>
      </c>
      <c r="O275" t="s">
        <v>38</v>
      </c>
      <c r="P275" t="s">
        <v>45</v>
      </c>
      <c r="Q275" t="s">
        <v>46</v>
      </c>
      <c r="R275" t="s">
        <v>378</v>
      </c>
      <c r="S275">
        <v>4</v>
      </c>
      <c r="T275" t="s">
        <v>379</v>
      </c>
      <c r="U275">
        <v>0.18212833798326025</v>
      </c>
    </row>
    <row r="276" spans="1:21">
      <c r="A276">
        <v>236</v>
      </c>
      <c r="B276" s="1">
        <v>45765</v>
      </c>
      <c r="C276" t="s">
        <v>279</v>
      </c>
      <c r="D276" t="s">
        <v>157</v>
      </c>
      <c r="E276" t="s">
        <v>76</v>
      </c>
      <c r="F276" t="s">
        <v>81</v>
      </c>
      <c r="G276" t="s">
        <v>105</v>
      </c>
      <c r="H276" t="s">
        <v>26</v>
      </c>
      <c r="I276">
        <v>4</v>
      </c>
      <c r="J276">
        <v>4264.0600000000004</v>
      </c>
      <c r="K276">
        <v>0.15</v>
      </c>
      <c r="L276">
        <v>14497.8</v>
      </c>
      <c r="M276">
        <v>12324.66</v>
      </c>
      <c r="N276">
        <v>2173.14</v>
      </c>
      <c r="O276" t="s">
        <v>27</v>
      </c>
      <c r="P276" t="s">
        <v>71</v>
      </c>
      <c r="Q276" t="s">
        <v>29</v>
      </c>
      <c r="R276" t="s">
        <v>378</v>
      </c>
      <c r="S276">
        <v>4</v>
      </c>
      <c r="T276" t="s">
        <v>379</v>
      </c>
      <c r="U276">
        <v>0.14989446674667881</v>
      </c>
    </row>
    <row r="277" spans="1:21">
      <c r="A277">
        <v>146</v>
      </c>
      <c r="B277" s="1">
        <v>45765</v>
      </c>
      <c r="C277" t="s">
        <v>301</v>
      </c>
      <c r="D277" t="s">
        <v>300</v>
      </c>
      <c r="E277" t="s">
        <v>76</v>
      </c>
      <c r="F277" t="s">
        <v>113</v>
      </c>
      <c r="G277" t="s">
        <v>44</v>
      </c>
      <c r="H277" t="s">
        <v>26</v>
      </c>
      <c r="I277">
        <v>2</v>
      </c>
      <c r="J277">
        <v>71883.41</v>
      </c>
      <c r="K277">
        <v>0.1</v>
      </c>
      <c r="L277">
        <v>129390.14</v>
      </c>
      <c r="M277">
        <v>121439.29</v>
      </c>
      <c r="N277">
        <v>7950.85</v>
      </c>
      <c r="O277" t="s">
        <v>38</v>
      </c>
      <c r="P277" t="s">
        <v>71</v>
      </c>
      <c r="Q277" t="s">
        <v>40</v>
      </c>
      <c r="R277" t="s">
        <v>378</v>
      </c>
      <c r="S277">
        <v>4</v>
      </c>
      <c r="T277" t="s">
        <v>379</v>
      </c>
      <c r="U277">
        <v>6.1448654433792251E-2</v>
      </c>
    </row>
    <row r="278" spans="1:21">
      <c r="A278">
        <v>849</v>
      </c>
      <c r="B278" s="1">
        <v>45765</v>
      </c>
      <c r="C278" t="s">
        <v>166</v>
      </c>
      <c r="D278" t="s">
        <v>404</v>
      </c>
      <c r="E278" t="s">
        <v>23</v>
      </c>
      <c r="F278" t="s">
        <v>43</v>
      </c>
      <c r="G278" t="s">
        <v>66</v>
      </c>
      <c r="H278" t="s">
        <v>51</v>
      </c>
      <c r="I278">
        <v>4</v>
      </c>
      <c r="J278">
        <v>3416.99</v>
      </c>
      <c r="K278">
        <v>0.1</v>
      </c>
      <c r="L278">
        <v>12301.16</v>
      </c>
      <c r="M278">
        <v>11572.88</v>
      </c>
      <c r="N278">
        <v>728.28</v>
      </c>
      <c r="O278" t="s">
        <v>27</v>
      </c>
      <c r="P278" t="s">
        <v>28</v>
      </c>
      <c r="Q278" t="s">
        <v>40</v>
      </c>
      <c r="R278" t="s">
        <v>378</v>
      </c>
      <c r="S278">
        <v>4</v>
      </c>
      <c r="T278" t="s">
        <v>379</v>
      </c>
      <c r="U278">
        <v>5.9204172614615205E-2</v>
      </c>
    </row>
    <row r="279" spans="1:21">
      <c r="A279">
        <v>886</v>
      </c>
      <c r="B279" s="1">
        <v>45765</v>
      </c>
      <c r="C279" t="s">
        <v>350</v>
      </c>
      <c r="D279" t="s">
        <v>347</v>
      </c>
      <c r="E279" t="s">
        <v>97</v>
      </c>
      <c r="F279" t="s">
        <v>98</v>
      </c>
      <c r="G279" t="s">
        <v>66</v>
      </c>
      <c r="H279" t="s">
        <v>51</v>
      </c>
      <c r="I279">
        <v>3</v>
      </c>
      <c r="J279">
        <v>2531.52</v>
      </c>
      <c r="K279">
        <v>0</v>
      </c>
      <c r="L279">
        <v>7594.56</v>
      </c>
      <c r="M279">
        <v>5988.45</v>
      </c>
      <c r="N279">
        <v>1606.11</v>
      </c>
      <c r="O279" t="s">
        <v>27</v>
      </c>
      <c r="P279" t="s">
        <v>39</v>
      </c>
      <c r="Q279" t="s">
        <v>29</v>
      </c>
      <c r="R279" t="s">
        <v>378</v>
      </c>
      <c r="S279">
        <v>4</v>
      </c>
      <c r="T279" t="s">
        <v>379</v>
      </c>
      <c r="U279">
        <v>0.21148163948931864</v>
      </c>
    </row>
    <row r="280" spans="1:21">
      <c r="A280">
        <v>489</v>
      </c>
      <c r="B280" s="1">
        <v>45765</v>
      </c>
      <c r="C280" t="s">
        <v>419</v>
      </c>
      <c r="D280" t="s">
        <v>420</v>
      </c>
      <c r="E280" t="s">
        <v>54</v>
      </c>
      <c r="F280" t="s">
        <v>108</v>
      </c>
      <c r="G280" t="s">
        <v>50</v>
      </c>
      <c r="H280" t="s">
        <v>51</v>
      </c>
      <c r="I280">
        <v>1</v>
      </c>
      <c r="J280">
        <v>317.26</v>
      </c>
      <c r="K280">
        <v>0.1</v>
      </c>
      <c r="L280">
        <v>285.52999999999997</v>
      </c>
      <c r="M280">
        <v>246.68</v>
      </c>
      <c r="N280">
        <v>38.85</v>
      </c>
      <c r="O280" t="s">
        <v>27</v>
      </c>
      <c r="P280" t="s">
        <v>39</v>
      </c>
      <c r="Q280" t="s">
        <v>40</v>
      </c>
      <c r="R280" t="s">
        <v>378</v>
      </c>
      <c r="S280">
        <v>4</v>
      </c>
      <c r="T280" t="s">
        <v>379</v>
      </c>
      <c r="U280">
        <v>0.13606276048050994</v>
      </c>
    </row>
    <row r="281" spans="1:21">
      <c r="A281">
        <v>922</v>
      </c>
      <c r="B281" s="1">
        <v>45765</v>
      </c>
      <c r="C281" t="s">
        <v>275</v>
      </c>
      <c r="D281" t="s">
        <v>421</v>
      </c>
      <c r="E281" t="s">
        <v>76</v>
      </c>
      <c r="F281" t="s">
        <v>81</v>
      </c>
      <c r="G281" t="s">
        <v>62</v>
      </c>
      <c r="H281" t="s">
        <v>63</v>
      </c>
      <c r="I281">
        <v>4</v>
      </c>
      <c r="J281">
        <v>315.83999999999997</v>
      </c>
      <c r="K281">
        <v>0.02</v>
      </c>
      <c r="L281">
        <v>1238.0899999999999</v>
      </c>
      <c r="M281">
        <v>873.98</v>
      </c>
      <c r="N281">
        <v>364.11</v>
      </c>
      <c r="O281" t="s">
        <v>38</v>
      </c>
      <c r="P281" t="s">
        <v>39</v>
      </c>
      <c r="Q281" t="s">
        <v>29</v>
      </c>
      <c r="R281" t="s">
        <v>378</v>
      </c>
      <c r="S281">
        <v>4</v>
      </c>
      <c r="T281" t="s">
        <v>379</v>
      </c>
      <c r="U281">
        <v>0.29409009038115164</v>
      </c>
    </row>
    <row r="282" spans="1:21">
      <c r="A282">
        <v>303</v>
      </c>
      <c r="B282" s="1">
        <v>45766</v>
      </c>
      <c r="C282" t="s">
        <v>117</v>
      </c>
      <c r="D282" t="s">
        <v>422</v>
      </c>
      <c r="E282" t="s">
        <v>54</v>
      </c>
      <c r="F282" t="s">
        <v>127</v>
      </c>
      <c r="G282" t="s">
        <v>105</v>
      </c>
      <c r="H282" t="s">
        <v>26</v>
      </c>
      <c r="I282">
        <v>1</v>
      </c>
      <c r="J282">
        <v>2008.35</v>
      </c>
      <c r="K282">
        <v>0.1</v>
      </c>
      <c r="L282">
        <v>1807.51</v>
      </c>
      <c r="M282">
        <v>1595.58</v>
      </c>
      <c r="N282">
        <v>211.93</v>
      </c>
      <c r="O282" t="s">
        <v>38</v>
      </c>
      <c r="P282" t="s">
        <v>28</v>
      </c>
      <c r="Q282" t="s">
        <v>46</v>
      </c>
      <c r="R282" t="s">
        <v>378</v>
      </c>
      <c r="S282">
        <v>4</v>
      </c>
      <c r="T282" t="s">
        <v>379</v>
      </c>
      <c r="U282">
        <v>0.1172496970971115</v>
      </c>
    </row>
    <row r="283" spans="1:21">
      <c r="A283">
        <v>995</v>
      </c>
      <c r="B283" s="1">
        <v>45766</v>
      </c>
      <c r="C283" t="s">
        <v>423</v>
      </c>
      <c r="D283" t="s">
        <v>424</v>
      </c>
      <c r="E283" t="s">
        <v>54</v>
      </c>
      <c r="F283" t="s">
        <v>55</v>
      </c>
      <c r="G283" t="s">
        <v>99</v>
      </c>
      <c r="H283" t="s">
        <v>26</v>
      </c>
      <c r="I283">
        <v>2</v>
      </c>
      <c r="J283">
        <v>16670.13</v>
      </c>
      <c r="K283">
        <v>0</v>
      </c>
      <c r="L283">
        <v>33340.26</v>
      </c>
      <c r="M283">
        <v>26701.1</v>
      </c>
      <c r="N283">
        <v>6639.16</v>
      </c>
      <c r="O283" t="s">
        <v>27</v>
      </c>
      <c r="P283" t="s">
        <v>71</v>
      </c>
      <c r="Q283" t="s">
        <v>46</v>
      </c>
      <c r="R283" t="s">
        <v>378</v>
      </c>
      <c r="S283">
        <v>4</v>
      </c>
      <c r="T283" t="s">
        <v>379</v>
      </c>
      <c r="U283">
        <v>0.19913342007530832</v>
      </c>
    </row>
    <row r="284" spans="1:21">
      <c r="A284">
        <v>953</v>
      </c>
      <c r="B284" s="1">
        <v>45767</v>
      </c>
      <c r="C284" t="s">
        <v>67</v>
      </c>
      <c r="D284" t="s">
        <v>425</v>
      </c>
      <c r="E284" t="s">
        <v>34</v>
      </c>
      <c r="F284" t="s">
        <v>35</v>
      </c>
      <c r="G284" t="s">
        <v>36</v>
      </c>
      <c r="H284" t="s">
        <v>37</v>
      </c>
      <c r="I284">
        <v>4</v>
      </c>
      <c r="J284">
        <v>14483.61</v>
      </c>
      <c r="K284">
        <v>0.02</v>
      </c>
      <c r="L284">
        <v>56775.75</v>
      </c>
      <c r="M284">
        <v>44416.77</v>
      </c>
      <c r="N284">
        <v>12358.98</v>
      </c>
      <c r="O284" t="s">
        <v>27</v>
      </c>
      <c r="P284" t="s">
        <v>28</v>
      </c>
      <c r="Q284" t="s">
        <v>46</v>
      </c>
      <c r="R284" t="s">
        <v>378</v>
      </c>
      <c r="S284">
        <v>4</v>
      </c>
      <c r="T284" t="s">
        <v>379</v>
      </c>
      <c r="U284">
        <v>0.2176806118809527</v>
      </c>
    </row>
    <row r="285" spans="1:21">
      <c r="A285">
        <v>344</v>
      </c>
      <c r="B285" s="1">
        <v>45767</v>
      </c>
      <c r="C285" t="s">
        <v>426</v>
      </c>
      <c r="D285" t="s">
        <v>259</v>
      </c>
      <c r="E285" t="s">
        <v>23</v>
      </c>
      <c r="F285" t="s">
        <v>24</v>
      </c>
      <c r="G285" t="s">
        <v>105</v>
      </c>
      <c r="H285" t="s">
        <v>26</v>
      </c>
      <c r="I285">
        <v>1</v>
      </c>
      <c r="J285">
        <v>5527.35</v>
      </c>
      <c r="K285">
        <v>0.15</v>
      </c>
      <c r="L285">
        <v>4698.25</v>
      </c>
      <c r="M285">
        <v>4613.8900000000003</v>
      </c>
      <c r="N285">
        <v>84.36</v>
      </c>
      <c r="O285" t="s">
        <v>27</v>
      </c>
      <c r="P285" t="s">
        <v>71</v>
      </c>
      <c r="Q285" t="s">
        <v>46</v>
      </c>
      <c r="R285" t="s">
        <v>378</v>
      </c>
      <c r="S285">
        <v>4</v>
      </c>
      <c r="T285" t="s">
        <v>379</v>
      </c>
      <c r="U285">
        <v>1.795562177406481E-2</v>
      </c>
    </row>
    <row r="286" spans="1:21">
      <c r="A286">
        <v>769</v>
      </c>
      <c r="B286" s="1">
        <v>45767</v>
      </c>
      <c r="C286" t="s">
        <v>427</v>
      </c>
      <c r="D286" t="s">
        <v>261</v>
      </c>
      <c r="E286" t="s">
        <v>76</v>
      </c>
      <c r="F286" t="s">
        <v>113</v>
      </c>
      <c r="G286" t="s">
        <v>25</v>
      </c>
      <c r="H286" t="s">
        <v>26</v>
      </c>
      <c r="I286">
        <v>2</v>
      </c>
      <c r="J286">
        <v>9018.1200000000008</v>
      </c>
      <c r="K286">
        <v>0.1</v>
      </c>
      <c r="L286">
        <v>16232.62</v>
      </c>
      <c r="M286">
        <v>13661.22</v>
      </c>
      <c r="N286">
        <v>2571.4</v>
      </c>
      <c r="O286" t="s">
        <v>38</v>
      </c>
      <c r="P286" t="s">
        <v>71</v>
      </c>
      <c r="Q286" t="s">
        <v>46</v>
      </c>
      <c r="R286" t="s">
        <v>378</v>
      </c>
      <c r="S286">
        <v>4</v>
      </c>
      <c r="T286" t="s">
        <v>379</v>
      </c>
      <c r="U286">
        <v>0.15840942497267846</v>
      </c>
    </row>
    <row r="287" spans="1:21">
      <c r="A287">
        <v>274</v>
      </c>
      <c r="B287" s="1">
        <v>45768</v>
      </c>
      <c r="C287" t="s">
        <v>149</v>
      </c>
      <c r="D287" t="s">
        <v>428</v>
      </c>
      <c r="E287" t="s">
        <v>34</v>
      </c>
      <c r="F287" t="s">
        <v>49</v>
      </c>
      <c r="G287" t="s">
        <v>44</v>
      </c>
      <c r="H287" t="s">
        <v>26</v>
      </c>
      <c r="I287">
        <v>1</v>
      </c>
      <c r="J287">
        <v>57487.37</v>
      </c>
      <c r="K287">
        <v>0.05</v>
      </c>
      <c r="L287">
        <v>54613</v>
      </c>
      <c r="M287">
        <v>43008.88</v>
      </c>
      <c r="N287">
        <v>11604.12</v>
      </c>
      <c r="O287" t="s">
        <v>27</v>
      </c>
      <c r="P287" t="s">
        <v>78</v>
      </c>
      <c r="Q287" t="s">
        <v>29</v>
      </c>
      <c r="R287" t="s">
        <v>378</v>
      </c>
      <c r="S287">
        <v>4</v>
      </c>
      <c r="T287" t="s">
        <v>379</v>
      </c>
      <c r="U287">
        <v>0.21247908007251023</v>
      </c>
    </row>
    <row r="288" spans="1:21">
      <c r="A288">
        <v>567</v>
      </c>
      <c r="B288" s="1">
        <v>45768</v>
      </c>
      <c r="C288" t="s">
        <v>342</v>
      </c>
      <c r="D288" t="s">
        <v>180</v>
      </c>
      <c r="E288" t="s">
        <v>23</v>
      </c>
      <c r="F288" t="s">
        <v>58</v>
      </c>
      <c r="G288" t="s">
        <v>69</v>
      </c>
      <c r="H288" t="s">
        <v>70</v>
      </c>
      <c r="I288">
        <v>3</v>
      </c>
      <c r="J288">
        <v>1901.32</v>
      </c>
      <c r="K288">
        <v>0.02</v>
      </c>
      <c r="L288">
        <v>5589.88</v>
      </c>
      <c r="M288">
        <v>3633.26</v>
      </c>
      <c r="N288">
        <v>1956.62</v>
      </c>
      <c r="O288" t="s">
        <v>38</v>
      </c>
      <c r="P288" t="s">
        <v>39</v>
      </c>
      <c r="Q288" t="s">
        <v>46</v>
      </c>
      <c r="R288" t="s">
        <v>378</v>
      </c>
      <c r="S288">
        <v>4</v>
      </c>
      <c r="T288" t="s">
        <v>379</v>
      </c>
      <c r="U288">
        <v>0.3500289809441347</v>
      </c>
    </row>
    <row r="289" spans="1:21">
      <c r="A289">
        <v>318</v>
      </c>
      <c r="B289" s="1">
        <v>45768</v>
      </c>
      <c r="C289" t="s">
        <v>328</v>
      </c>
      <c r="D289" t="s">
        <v>429</v>
      </c>
      <c r="E289" t="s">
        <v>34</v>
      </c>
      <c r="F289" t="s">
        <v>49</v>
      </c>
      <c r="G289" t="s">
        <v>99</v>
      </c>
      <c r="H289" t="s">
        <v>26</v>
      </c>
      <c r="I289">
        <v>4</v>
      </c>
      <c r="J289">
        <v>13284.52</v>
      </c>
      <c r="K289">
        <v>0</v>
      </c>
      <c r="L289">
        <v>53138.080000000002</v>
      </c>
      <c r="M289">
        <v>44252.12</v>
      </c>
      <c r="N289">
        <v>8885.9599999999991</v>
      </c>
      <c r="O289" t="s">
        <v>38</v>
      </c>
      <c r="P289" t="s">
        <v>28</v>
      </c>
      <c r="Q289" t="s">
        <v>40</v>
      </c>
      <c r="R289" t="s">
        <v>378</v>
      </c>
      <c r="S289">
        <v>4</v>
      </c>
      <c r="T289" t="s">
        <v>379</v>
      </c>
      <c r="U289">
        <v>0.16722395690623371</v>
      </c>
    </row>
    <row r="290" spans="1:21">
      <c r="A290">
        <v>61</v>
      </c>
      <c r="B290" s="1">
        <v>45768</v>
      </c>
      <c r="C290" t="s">
        <v>346</v>
      </c>
      <c r="D290" t="s">
        <v>200</v>
      </c>
      <c r="E290" t="s">
        <v>34</v>
      </c>
      <c r="F290" t="s">
        <v>49</v>
      </c>
      <c r="G290" t="s">
        <v>69</v>
      </c>
      <c r="H290" t="s">
        <v>70</v>
      </c>
      <c r="I290">
        <v>3</v>
      </c>
      <c r="J290">
        <v>1738.02</v>
      </c>
      <c r="K290">
        <v>0.05</v>
      </c>
      <c r="L290">
        <v>4953.3599999999997</v>
      </c>
      <c r="M290">
        <v>4018.52</v>
      </c>
      <c r="N290">
        <v>934.84</v>
      </c>
      <c r="O290" t="s">
        <v>38</v>
      </c>
      <c r="P290" t="s">
        <v>39</v>
      </c>
      <c r="Q290" t="s">
        <v>40</v>
      </c>
      <c r="R290" t="s">
        <v>378</v>
      </c>
      <c r="S290">
        <v>4</v>
      </c>
      <c r="T290" t="s">
        <v>379</v>
      </c>
      <c r="U290">
        <v>0.18872845906616925</v>
      </c>
    </row>
    <row r="291" spans="1:21">
      <c r="A291">
        <v>766</v>
      </c>
      <c r="B291" s="1">
        <v>45769</v>
      </c>
      <c r="C291" t="s">
        <v>162</v>
      </c>
      <c r="D291" t="s">
        <v>430</v>
      </c>
      <c r="E291" t="s">
        <v>76</v>
      </c>
      <c r="F291" t="s">
        <v>81</v>
      </c>
      <c r="G291" t="s">
        <v>134</v>
      </c>
      <c r="H291" t="s">
        <v>26</v>
      </c>
      <c r="I291">
        <v>1</v>
      </c>
      <c r="J291">
        <v>39658.89</v>
      </c>
      <c r="K291">
        <v>0.15</v>
      </c>
      <c r="L291">
        <v>33710.06</v>
      </c>
      <c r="M291">
        <v>28996.66</v>
      </c>
      <c r="N291">
        <v>4713.3999999999996</v>
      </c>
      <c r="O291" t="s">
        <v>38</v>
      </c>
      <c r="P291" t="s">
        <v>28</v>
      </c>
      <c r="Q291" t="s">
        <v>46</v>
      </c>
      <c r="R291" t="s">
        <v>378</v>
      </c>
      <c r="S291">
        <v>4</v>
      </c>
      <c r="T291" t="s">
        <v>379</v>
      </c>
      <c r="U291">
        <v>0.1398217624056439</v>
      </c>
    </row>
    <row r="292" spans="1:21">
      <c r="A292">
        <v>482</v>
      </c>
      <c r="B292" s="1">
        <v>45770</v>
      </c>
      <c r="C292" t="s">
        <v>244</v>
      </c>
      <c r="D292" t="s">
        <v>404</v>
      </c>
      <c r="E292" t="s">
        <v>34</v>
      </c>
      <c r="F292" t="s">
        <v>49</v>
      </c>
      <c r="G292" t="s">
        <v>36</v>
      </c>
      <c r="H292" t="s">
        <v>37</v>
      </c>
      <c r="I292">
        <v>2</v>
      </c>
      <c r="J292">
        <v>4467.49</v>
      </c>
      <c r="K292">
        <v>0.02</v>
      </c>
      <c r="L292">
        <v>8756.2800000000007</v>
      </c>
      <c r="M292">
        <v>6590.2</v>
      </c>
      <c r="N292">
        <v>2166.08</v>
      </c>
      <c r="O292" t="s">
        <v>38</v>
      </c>
      <c r="P292" t="s">
        <v>71</v>
      </c>
      <c r="Q292" t="s">
        <v>40</v>
      </c>
      <c r="R292" t="s">
        <v>378</v>
      </c>
      <c r="S292">
        <v>4</v>
      </c>
      <c r="T292" t="s">
        <v>379</v>
      </c>
      <c r="U292">
        <v>0.24737445581913778</v>
      </c>
    </row>
    <row r="293" spans="1:21">
      <c r="A293">
        <v>150</v>
      </c>
      <c r="B293" s="1">
        <v>45771</v>
      </c>
      <c r="C293" t="s">
        <v>151</v>
      </c>
      <c r="D293" t="s">
        <v>362</v>
      </c>
      <c r="E293" t="s">
        <v>76</v>
      </c>
      <c r="F293" t="s">
        <v>81</v>
      </c>
      <c r="G293" t="s">
        <v>145</v>
      </c>
      <c r="H293" t="s">
        <v>70</v>
      </c>
      <c r="I293">
        <v>1</v>
      </c>
      <c r="J293">
        <v>934.02</v>
      </c>
      <c r="K293">
        <v>0.02</v>
      </c>
      <c r="L293">
        <v>915.34</v>
      </c>
      <c r="M293">
        <v>669.99</v>
      </c>
      <c r="N293">
        <v>245.35</v>
      </c>
      <c r="O293" t="s">
        <v>27</v>
      </c>
      <c r="P293" t="s">
        <v>28</v>
      </c>
      <c r="Q293" t="s">
        <v>46</v>
      </c>
      <c r="R293" t="s">
        <v>378</v>
      </c>
      <c r="S293">
        <v>4</v>
      </c>
      <c r="T293" t="s">
        <v>379</v>
      </c>
      <c r="U293">
        <v>0.2680424760198396</v>
      </c>
    </row>
    <row r="294" spans="1:21">
      <c r="A294">
        <v>569</v>
      </c>
      <c r="B294" s="1">
        <v>45771</v>
      </c>
      <c r="C294" t="s">
        <v>343</v>
      </c>
      <c r="D294" t="s">
        <v>107</v>
      </c>
      <c r="E294" t="s">
        <v>76</v>
      </c>
      <c r="F294" t="s">
        <v>113</v>
      </c>
      <c r="G294" t="s">
        <v>134</v>
      </c>
      <c r="H294" t="s">
        <v>26</v>
      </c>
      <c r="I294">
        <v>3</v>
      </c>
      <c r="J294">
        <v>35154.019999999997</v>
      </c>
      <c r="K294">
        <v>0.15</v>
      </c>
      <c r="L294">
        <v>89642.75</v>
      </c>
      <c r="M294">
        <v>91350.06</v>
      </c>
      <c r="N294">
        <v>-1707.31</v>
      </c>
      <c r="O294" t="s">
        <v>27</v>
      </c>
      <c r="P294" t="s">
        <v>71</v>
      </c>
      <c r="Q294" t="s">
        <v>29</v>
      </c>
      <c r="R294" t="s">
        <v>378</v>
      </c>
      <c r="S294">
        <v>4</v>
      </c>
      <c r="T294" t="s">
        <v>379</v>
      </c>
      <c r="U294">
        <v>-1.9045712006827101E-2</v>
      </c>
    </row>
    <row r="295" spans="1:21">
      <c r="A295">
        <v>322</v>
      </c>
      <c r="B295" s="1">
        <v>45771</v>
      </c>
      <c r="C295" t="s">
        <v>400</v>
      </c>
      <c r="D295" t="s">
        <v>194</v>
      </c>
      <c r="E295" t="s">
        <v>76</v>
      </c>
      <c r="F295" t="s">
        <v>77</v>
      </c>
      <c r="G295" t="s">
        <v>66</v>
      </c>
      <c r="H295" t="s">
        <v>51</v>
      </c>
      <c r="I295">
        <v>2</v>
      </c>
      <c r="J295">
        <v>1545.8</v>
      </c>
      <c r="K295">
        <v>0.02</v>
      </c>
      <c r="L295">
        <v>3029.77</v>
      </c>
      <c r="M295">
        <v>2318.2399999999998</v>
      </c>
      <c r="N295">
        <v>711.53</v>
      </c>
      <c r="O295" t="s">
        <v>38</v>
      </c>
      <c r="P295" t="s">
        <v>78</v>
      </c>
      <c r="Q295" t="s">
        <v>40</v>
      </c>
      <c r="R295" t="s">
        <v>378</v>
      </c>
      <c r="S295">
        <v>4</v>
      </c>
      <c r="T295" t="s">
        <v>379</v>
      </c>
      <c r="U295">
        <v>0.23484620944824194</v>
      </c>
    </row>
    <row r="296" spans="1:21">
      <c r="A296">
        <v>291</v>
      </c>
      <c r="B296" s="1">
        <v>45771</v>
      </c>
      <c r="C296" t="s">
        <v>353</v>
      </c>
      <c r="D296" t="s">
        <v>431</v>
      </c>
      <c r="E296" t="s">
        <v>97</v>
      </c>
      <c r="F296" t="s">
        <v>148</v>
      </c>
      <c r="G296" t="s">
        <v>99</v>
      </c>
      <c r="H296" t="s">
        <v>26</v>
      </c>
      <c r="I296">
        <v>2</v>
      </c>
      <c r="J296">
        <v>17112.79</v>
      </c>
      <c r="K296">
        <v>0.05</v>
      </c>
      <c r="L296">
        <v>32514.3</v>
      </c>
      <c r="M296">
        <v>24918.17</v>
      </c>
      <c r="N296">
        <v>7596.13</v>
      </c>
      <c r="O296" t="s">
        <v>27</v>
      </c>
      <c r="P296" t="s">
        <v>71</v>
      </c>
      <c r="Q296" t="s">
        <v>46</v>
      </c>
      <c r="R296" t="s">
        <v>378</v>
      </c>
      <c r="S296">
        <v>4</v>
      </c>
      <c r="T296" t="s">
        <v>379</v>
      </c>
      <c r="U296">
        <v>0.23362428223889181</v>
      </c>
    </row>
    <row r="297" spans="1:21">
      <c r="A297">
        <v>168</v>
      </c>
      <c r="B297" s="1">
        <v>45772</v>
      </c>
      <c r="C297" t="s">
        <v>432</v>
      </c>
      <c r="D297" t="s">
        <v>433</v>
      </c>
      <c r="E297" t="s">
        <v>54</v>
      </c>
      <c r="F297" t="s">
        <v>127</v>
      </c>
      <c r="G297" t="s">
        <v>62</v>
      </c>
      <c r="H297" t="s">
        <v>63</v>
      </c>
      <c r="I297">
        <v>1</v>
      </c>
      <c r="J297">
        <v>394</v>
      </c>
      <c r="K297">
        <v>0.15</v>
      </c>
      <c r="L297">
        <v>334.9</v>
      </c>
      <c r="M297">
        <v>256.56</v>
      </c>
      <c r="N297">
        <v>78.34</v>
      </c>
      <c r="O297" t="s">
        <v>38</v>
      </c>
      <c r="P297" t="s">
        <v>78</v>
      </c>
      <c r="Q297" t="s">
        <v>29</v>
      </c>
      <c r="R297" t="s">
        <v>378</v>
      </c>
      <c r="S297">
        <v>4</v>
      </c>
      <c r="T297" t="s">
        <v>379</v>
      </c>
      <c r="U297">
        <v>0.23392057330546434</v>
      </c>
    </row>
    <row r="298" spans="1:21">
      <c r="A298">
        <v>596</v>
      </c>
      <c r="B298" s="1">
        <v>45772</v>
      </c>
      <c r="C298" t="s">
        <v>286</v>
      </c>
      <c r="D298" t="s">
        <v>434</v>
      </c>
      <c r="E298" t="s">
        <v>34</v>
      </c>
      <c r="F298" t="s">
        <v>35</v>
      </c>
      <c r="G298" t="s">
        <v>62</v>
      </c>
      <c r="H298" t="s">
        <v>63</v>
      </c>
      <c r="I298">
        <v>1</v>
      </c>
      <c r="J298">
        <v>279.02999999999997</v>
      </c>
      <c r="K298">
        <v>0</v>
      </c>
      <c r="L298">
        <v>279.02999999999997</v>
      </c>
      <c r="M298">
        <v>242.58</v>
      </c>
      <c r="N298">
        <v>36.450000000000003</v>
      </c>
      <c r="O298" t="s">
        <v>38</v>
      </c>
      <c r="P298" t="s">
        <v>71</v>
      </c>
      <c r="Q298" t="s">
        <v>46</v>
      </c>
      <c r="R298" t="s">
        <v>378</v>
      </c>
      <c r="S298">
        <v>4</v>
      </c>
      <c r="T298" t="s">
        <v>379</v>
      </c>
      <c r="U298">
        <v>0.13063111493387811</v>
      </c>
    </row>
    <row r="299" spans="1:21">
      <c r="A299">
        <v>765</v>
      </c>
      <c r="B299" s="1">
        <v>45772</v>
      </c>
      <c r="C299" t="s">
        <v>84</v>
      </c>
      <c r="D299" t="s">
        <v>291</v>
      </c>
      <c r="E299" t="s">
        <v>34</v>
      </c>
      <c r="F299" t="s">
        <v>49</v>
      </c>
      <c r="G299" t="s">
        <v>99</v>
      </c>
      <c r="H299" t="s">
        <v>26</v>
      </c>
      <c r="I299">
        <v>1</v>
      </c>
      <c r="J299">
        <v>20534.64</v>
      </c>
      <c r="K299">
        <v>0.02</v>
      </c>
      <c r="L299">
        <v>20123.95</v>
      </c>
      <c r="M299">
        <v>16916.88</v>
      </c>
      <c r="N299">
        <v>3207.07</v>
      </c>
      <c r="O299" t="s">
        <v>27</v>
      </c>
      <c r="P299" t="s">
        <v>39</v>
      </c>
      <c r="Q299" t="s">
        <v>40</v>
      </c>
      <c r="R299" t="s">
        <v>378</v>
      </c>
      <c r="S299">
        <v>4</v>
      </c>
      <c r="T299" t="s">
        <v>379</v>
      </c>
      <c r="U299">
        <v>0.15936583026692075</v>
      </c>
    </row>
    <row r="300" spans="1:21">
      <c r="A300">
        <v>330</v>
      </c>
      <c r="B300" s="1">
        <v>45772</v>
      </c>
      <c r="C300" t="s">
        <v>419</v>
      </c>
      <c r="D300" t="s">
        <v>344</v>
      </c>
      <c r="E300" t="s">
        <v>97</v>
      </c>
      <c r="F300" t="s">
        <v>148</v>
      </c>
      <c r="G300" t="s">
        <v>50</v>
      </c>
      <c r="H300" t="s">
        <v>51</v>
      </c>
      <c r="I300">
        <v>1</v>
      </c>
      <c r="J300">
        <v>1178.9000000000001</v>
      </c>
      <c r="K300">
        <v>0.02</v>
      </c>
      <c r="L300">
        <v>1155.32</v>
      </c>
      <c r="M300">
        <v>839.51</v>
      </c>
      <c r="N300">
        <v>315.81</v>
      </c>
      <c r="O300" t="s">
        <v>27</v>
      </c>
      <c r="P300" t="s">
        <v>78</v>
      </c>
      <c r="Q300" t="s">
        <v>46</v>
      </c>
      <c r="R300" t="s">
        <v>378</v>
      </c>
      <c r="S300">
        <v>4</v>
      </c>
      <c r="T300" t="s">
        <v>379</v>
      </c>
      <c r="U300">
        <v>0.27335283730914378</v>
      </c>
    </row>
    <row r="301" spans="1:21">
      <c r="A301">
        <v>470</v>
      </c>
      <c r="B301" s="1">
        <v>45772</v>
      </c>
      <c r="C301" t="s">
        <v>317</v>
      </c>
      <c r="D301" t="s">
        <v>435</v>
      </c>
      <c r="E301" t="s">
        <v>76</v>
      </c>
      <c r="F301" t="s">
        <v>77</v>
      </c>
      <c r="G301" t="s">
        <v>25</v>
      </c>
      <c r="H301" t="s">
        <v>26</v>
      </c>
      <c r="I301">
        <v>3</v>
      </c>
      <c r="J301">
        <v>6860.36</v>
      </c>
      <c r="K301">
        <v>0.05</v>
      </c>
      <c r="L301">
        <v>19552.03</v>
      </c>
      <c r="M301">
        <v>15492.37</v>
      </c>
      <c r="N301">
        <v>4059.66</v>
      </c>
      <c r="O301" t="s">
        <v>27</v>
      </c>
      <c r="P301" t="s">
        <v>71</v>
      </c>
      <c r="Q301" t="s">
        <v>40</v>
      </c>
      <c r="R301" t="s">
        <v>378</v>
      </c>
      <c r="S301">
        <v>4</v>
      </c>
      <c r="T301" t="s">
        <v>379</v>
      </c>
      <c r="U301">
        <v>0.20763368304979074</v>
      </c>
    </row>
    <row r="302" spans="1:21">
      <c r="A302">
        <v>494</v>
      </c>
      <c r="B302" s="1">
        <v>45772</v>
      </c>
      <c r="C302" t="s">
        <v>436</v>
      </c>
      <c r="D302" t="s">
        <v>437</v>
      </c>
      <c r="E302" t="s">
        <v>34</v>
      </c>
      <c r="F302" t="s">
        <v>49</v>
      </c>
      <c r="G302" t="s">
        <v>99</v>
      </c>
      <c r="H302" t="s">
        <v>26</v>
      </c>
      <c r="I302">
        <v>2</v>
      </c>
      <c r="J302">
        <v>20590.66</v>
      </c>
      <c r="K302">
        <v>0</v>
      </c>
      <c r="L302">
        <v>41181.32</v>
      </c>
      <c r="M302">
        <v>30093.63</v>
      </c>
      <c r="N302">
        <v>11087.69</v>
      </c>
      <c r="O302" t="s">
        <v>38</v>
      </c>
      <c r="P302" t="s">
        <v>78</v>
      </c>
      <c r="Q302" t="s">
        <v>29</v>
      </c>
      <c r="R302" t="s">
        <v>378</v>
      </c>
      <c r="S302">
        <v>4</v>
      </c>
      <c r="T302" t="s">
        <v>379</v>
      </c>
      <c r="U302">
        <v>0.26924076255933516</v>
      </c>
    </row>
    <row r="303" spans="1:21">
      <c r="A303">
        <v>825</v>
      </c>
      <c r="B303" s="1">
        <v>45772</v>
      </c>
      <c r="C303" t="s">
        <v>438</v>
      </c>
      <c r="D303" t="s">
        <v>204</v>
      </c>
      <c r="E303" t="s">
        <v>34</v>
      </c>
      <c r="F303" t="s">
        <v>49</v>
      </c>
      <c r="G303" t="s">
        <v>62</v>
      </c>
      <c r="H303" t="s">
        <v>63</v>
      </c>
      <c r="I303">
        <v>1</v>
      </c>
      <c r="J303">
        <v>204.43</v>
      </c>
      <c r="K303">
        <v>0.1</v>
      </c>
      <c r="L303">
        <v>183.99</v>
      </c>
      <c r="M303">
        <v>175.15</v>
      </c>
      <c r="N303">
        <v>8.84</v>
      </c>
      <c r="O303" t="s">
        <v>27</v>
      </c>
      <c r="P303" t="s">
        <v>45</v>
      </c>
      <c r="Q303" t="s">
        <v>40</v>
      </c>
      <c r="R303" t="s">
        <v>378</v>
      </c>
      <c r="S303">
        <v>4</v>
      </c>
      <c r="T303" t="s">
        <v>379</v>
      </c>
      <c r="U303">
        <v>4.8046089461383765E-2</v>
      </c>
    </row>
    <row r="304" spans="1:21">
      <c r="A304">
        <v>948</v>
      </c>
      <c r="B304" s="1">
        <v>45772</v>
      </c>
      <c r="C304" t="s">
        <v>439</v>
      </c>
      <c r="D304" t="s">
        <v>268</v>
      </c>
      <c r="E304" t="s">
        <v>34</v>
      </c>
      <c r="F304" t="s">
        <v>86</v>
      </c>
      <c r="G304" t="s">
        <v>134</v>
      </c>
      <c r="H304" t="s">
        <v>26</v>
      </c>
      <c r="I304">
        <v>3</v>
      </c>
      <c r="J304">
        <v>35107.39</v>
      </c>
      <c r="K304">
        <v>0</v>
      </c>
      <c r="L304">
        <v>105322.17</v>
      </c>
      <c r="M304">
        <v>92063.79</v>
      </c>
      <c r="N304">
        <v>13258.38</v>
      </c>
      <c r="O304" t="s">
        <v>27</v>
      </c>
      <c r="P304" t="s">
        <v>28</v>
      </c>
      <c r="Q304" t="s">
        <v>46</v>
      </c>
      <c r="R304" t="s">
        <v>378</v>
      </c>
      <c r="S304">
        <v>4</v>
      </c>
      <c r="T304" t="s">
        <v>379</v>
      </c>
      <c r="U304">
        <v>0.12588403752030555</v>
      </c>
    </row>
    <row r="305" spans="1:21">
      <c r="A305">
        <v>440</v>
      </c>
      <c r="B305" s="1">
        <v>45774</v>
      </c>
      <c r="C305" t="s">
        <v>138</v>
      </c>
      <c r="D305" t="s">
        <v>440</v>
      </c>
      <c r="E305" t="s">
        <v>97</v>
      </c>
      <c r="F305" t="s">
        <v>148</v>
      </c>
      <c r="G305" t="s">
        <v>69</v>
      </c>
      <c r="H305" t="s">
        <v>70</v>
      </c>
      <c r="I305">
        <v>2</v>
      </c>
      <c r="J305">
        <v>834.85</v>
      </c>
      <c r="K305">
        <v>0</v>
      </c>
      <c r="L305">
        <v>1669.7</v>
      </c>
      <c r="M305">
        <v>1281.31</v>
      </c>
      <c r="N305">
        <v>388.39</v>
      </c>
      <c r="O305" t="s">
        <v>27</v>
      </c>
      <c r="P305" t="s">
        <v>71</v>
      </c>
      <c r="Q305" t="s">
        <v>40</v>
      </c>
      <c r="R305" t="s">
        <v>378</v>
      </c>
      <c r="S305">
        <v>4</v>
      </c>
      <c r="T305" t="s">
        <v>379</v>
      </c>
      <c r="U305">
        <v>0.23261064861951247</v>
      </c>
    </row>
    <row r="306" spans="1:21">
      <c r="A306">
        <v>430</v>
      </c>
      <c r="B306" s="1">
        <v>45774</v>
      </c>
      <c r="C306" t="s">
        <v>109</v>
      </c>
      <c r="D306" t="s">
        <v>441</v>
      </c>
      <c r="E306" t="s">
        <v>23</v>
      </c>
      <c r="F306" t="s">
        <v>43</v>
      </c>
      <c r="G306" t="s">
        <v>99</v>
      </c>
      <c r="H306" t="s">
        <v>26</v>
      </c>
      <c r="I306">
        <v>1</v>
      </c>
      <c r="J306">
        <v>12988.66</v>
      </c>
      <c r="K306">
        <v>0.1</v>
      </c>
      <c r="L306">
        <v>11689.79</v>
      </c>
      <c r="M306">
        <v>9264.0499999999993</v>
      </c>
      <c r="N306">
        <v>2425.7399999999998</v>
      </c>
      <c r="O306" t="s">
        <v>27</v>
      </c>
      <c r="P306" t="s">
        <v>28</v>
      </c>
      <c r="Q306" t="s">
        <v>29</v>
      </c>
      <c r="R306" t="s">
        <v>378</v>
      </c>
      <c r="S306">
        <v>4</v>
      </c>
      <c r="T306" t="s">
        <v>379</v>
      </c>
      <c r="U306">
        <v>0.20750928801971633</v>
      </c>
    </row>
    <row r="307" spans="1:21">
      <c r="A307">
        <v>497</v>
      </c>
      <c r="B307" s="1">
        <v>45774</v>
      </c>
      <c r="C307" t="s">
        <v>240</v>
      </c>
      <c r="D307" t="s">
        <v>163</v>
      </c>
      <c r="E307" t="s">
        <v>34</v>
      </c>
      <c r="F307" t="s">
        <v>86</v>
      </c>
      <c r="G307" t="s">
        <v>62</v>
      </c>
      <c r="H307" t="s">
        <v>63</v>
      </c>
      <c r="I307">
        <v>1</v>
      </c>
      <c r="J307">
        <v>119.44</v>
      </c>
      <c r="K307">
        <v>0.1</v>
      </c>
      <c r="L307">
        <v>107.5</v>
      </c>
      <c r="M307">
        <v>102.81</v>
      </c>
      <c r="N307">
        <v>4.6900000000000004</v>
      </c>
      <c r="O307" t="s">
        <v>27</v>
      </c>
      <c r="P307" t="s">
        <v>39</v>
      </c>
      <c r="Q307" t="s">
        <v>29</v>
      </c>
      <c r="R307" t="s">
        <v>378</v>
      </c>
      <c r="S307">
        <v>4</v>
      </c>
      <c r="T307" t="s">
        <v>379</v>
      </c>
      <c r="U307">
        <v>4.3627906976744187E-2</v>
      </c>
    </row>
    <row r="308" spans="1:21">
      <c r="A308">
        <v>924</v>
      </c>
      <c r="B308" s="1">
        <v>45775</v>
      </c>
      <c r="C308" t="s">
        <v>442</v>
      </c>
      <c r="D308" t="s">
        <v>154</v>
      </c>
      <c r="E308" t="s">
        <v>76</v>
      </c>
      <c r="F308" t="s">
        <v>77</v>
      </c>
      <c r="G308" t="s">
        <v>105</v>
      </c>
      <c r="H308" t="s">
        <v>26</v>
      </c>
      <c r="I308">
        <v>1</v>
      </c>
      <c r="J308">
        <v>6333.59</v>
      </c>
      <c r="K308">
        <v>0.15</v>
      </c>
      <c r="L308">
        <v>5383.55</v>
      </c>
      <c r="M308">
        <v>4154.46</v>
      </c>
      <c r="N308">
        <v>1229.0899999999999</v>
      </c>
      <c r="O308" t="s">
        <v>38</v>
      </c>
      <c r="P308" t="s">
        <v>78</v>
      </c>
      <c r="Q308" t="s">
        <v>40</v>
      </c>
      <c r="R308" t="s">
        <v>378</v>
      </c>
      <c r="S308">
        <v>4</v>
      </c>
      <c r="T308" t="s">
        <v>379</v>
      </c>
      <c r="U308">
        <v>0.22830474315275234</v>
      </c>
    </row>
    <row r="309" spans="1:21">
      <c r="A309">
        <v>965</v>
      </c>
      <c r="B309" s="1">
        <v>45775</v>
      </c>
      <c r="C309" t="s">
        <v>443</v>
      </c>
      <c r="D309" t="s">
        <v>298</v>
      </c>
      <c r="E309" t="s">
        <v>54</v>
      </c>
      <c r="F309" t="s">
        <v>55</v>
      </c>
      <c r="G309" t="s">
        <v>69</v>
      </c>
      <c r="H309" t="s">
        <v>70</v>
      </c>
      <c r="I309">
        <v>3</v>
      </c>
      <c r="J309">
        <v>2376.5</v>
      </c>
      <c r="K309">
        <v>0.02</v>
      </c>
      <c r="L309">
        <v>6986.91</v>
      </c>
      <c r="M309">
        <v>4557.66</v>
      </c>
      <c r="N309">
        <v>2429.25</v>
      </c>
      <c r="O309" t="s">
        <v>27</v>
      </c>
      <c r="P309" t="s">
        <v>78</v>
      </c>
      <c r="Q309" t="s">
        <v>29</v>
      </c>
      <c r="R309" t="s">
        <v>378</v>
      </c>
      <c r="S309">
        <v>4</v>
      </c>
      <c r="T309" t="s">
        <v>379</v>
      </c>
      <c r="U309">
        <v>0.34768588689420649</v>
      </c>
    </row>
    <row r="310" spans="1:21">
      <c r="A310">
        <v>335</v>
      </c>
      <c r="B310" s="1">
        <v>45775</v>
      </c>
      <c r="C310" t="s">
        <v>444</v>
      </c>
      <c r="D310" t="s">
        <v>392</v>
      </c>
      <c r="E310" t="s">
        <v>97</v>
      </c>
      <c r="F310" t="s">
        <v>98</v>
      </c>
      <c r="G310" t="s">
        <v>25</v>
      </c>
      <c r="H310" t="s">
        <v>26</v>
      </c>
      <c r="I310">
        <v>1</v>
      </c>
      <c r="J310">
        <v>19986.73</v>
      </c>
      <c r="K310">
        <v>0.05</v>
      </c>
      <c r="L310">
        <v>18987.39</v>
      </c>
      <c r="M310">
        <v>13053.74</v>
      </c>
      <c r="N310">
        <v>5933.65</v>
      </c>
      <c r="O310" t="s">
        <v>27</v>
      </c>
      <c r="P310" t="s">
        <v>71</v>
      </c>
      <c r="Q310" t="s">
        <v>46</v>
      </c>
      <c r="R310" t="s">
        <v>378</v>
      </c>
      <c r="S310">
        <v>4</v>
      </c>
      <c r="T310" t="s">
        <v>379</v>
      </c>
      <c r="U310">
        <v>0.31250477290454348</v>
      </c>
    </row>
    <row r="311" spans="1:21">
      <c r="A311">
        <v>377</v>
      </c>
      <c r="B311" s="1">
        <v>45776</v>
      </c>
      <c r="C311" t="s">
        <v>445</v>
      </c>
      <c r="D311" t="s">
        <v>446</v>
      </c>
      <c r="E311" t="s">
        <v>54</v>
      </c>
      <c r="F311" t="s">
        <v>55</v>
      </c>
      <c r="G311" t="s">
        <v>44</v>
      </c>
      <c r="H311" t="s">
        <v>26</v>
      </c>
      <c r="I311">
        <v>3</v>
      </c>
      <c r="J311">
        <v>68067.67</v>
      </c>
      <c r="K311">
        <v>0.1</v>
      </c>
      <c r="L311">
        <v>183782.71</v>
      </c>
      <c r="M311">
        <v>171634.35</v>
      </c>
      <c r="N311">
        <v>12148.36</v>
      </c>
      <c r="O311" t="s">
        <v>27</v>
      </c>
      <c r="P311" t="s">
        <v>45</v>
      </c>
      <c r="Q311" t="s">
        <v>29</v>
      </c>
      <c r="R311" t="s">
        <v>378</v>
      </c>
      <c r="S311">
        <v>4</v>
      </c>
      <c r="T311" t="s">
        <v>379</v>
      </c>
      <c r="U311">
        <v>6.610175679747024E-2</v>
      </c>
    </row>
    <row r="312" spans="1:21">
      <c r="A312">
        <v>942</v>
      </c>
      <c r="B312" s="1">
        <v>45777</v>
      </c>
      <c r="C312" t="s">
        <v>417</v>
      </c>
      <c r="D312" t="s">
        <v>447</v>
      </c>
      <c r="E312" t="s">
        <v>97</v>
      </c>
      <c r="F312" t="s">
        <v>148</v>
      </c>
      <c r="G312" t="s">
        <v>99</v>
      </c>
      <c r="H312" t="s">
        <v>26</v>
      </c>
      <c r="I312">
        <v>4</v>
      </c>
      <c r="J312">
        <v>18528.830000000002</v>
      </c>
      <c r="K312">
        <v>0.05</v>
      </c>
      <c r="L312">
        <v>70409.55</v>
      </c>
      <c r="M312">
        <v>59197.49</v>
      </c>
      <c r="N312">
        <v>11212.06</v>
      </c>
      <c r="O312" t="s">
        <v>38</v>
      </c>
      <c r="P312" t="s">
        <v>71</v>
      </c>
      <c r="Q312" t="s">
        <v>29</v>
      </c>
      <c r="R312" t="s">
        <v>378</v>
      </c>
      <c r="S312">
        <v>4</v>
      </c>
      <c r="T312" t="s">
        <v>379</v>
      </c>
      <c r="U312">
        <v>0.15924061437688494</v>
      </c>
    </row>
    <row r="313" spans="1:21">
      <c r="A313">
        <v>603</v>
      </c>
      <c r="B313" s="1">
        <v>45777</v>
      </c>
      <c r="C313" t="s">
        <v>32</v>
      </c>
      <c r="D313" t="s">
        <v>422</v>
      </c>
      <c r="E313" t="s">
        <v>97</v>
      </c>
      <c r="F313" t="s">
        <v>98</v>
      </c>
      <c r="G313" t="s">
        <v>134</v>
      </c>
      <c r="H313" t="s">
        <v>26</v>
      </c>
      <c r="I313">
        <v>1</v>
      </c>
      <c r="J313">
        <v>44285.61</v>
      </c>
      <c r="K313">
        <v>0.05</v>
      </c>
      <c r="L313">
        <v>42071.33</v>
      </c>
      <c r="M313">
        <v>33413.08</v>
      </c>
      <c r="N313">
        <v>8658.25</v>
      </c>
      <c r="O313" t="s">
        <v>38</v>
      </c>
      <c r="P313" t="s">
        <v>39</v>
      </c>
      <c r="Q313" t="s">
        <v>46</v>
      </c>
      <c r="R313" t="s">
        <v>378</v>
      </c>
      <c r="S313">
        <v>4</v>
      </c>
      <c r="T313" t="s">
        <v>379</v>
      </c>
      <c r="U313">
        <v>0.20579929372330277</v>
      </c>
    </row>
    <row r="314" spans="1:21">
      <c r="A314">
        <v>888</v>
      </c>
      <c r="B314" s="1">
        <v>45778</v>
      </c>
      <c r="C314" t="s">
        <v>373</v>
      </c>
      <c r="D314" t="s">
        <v>448</v>
      </c>
      <c r="E314" t="s">
        <v>76</v>
      </c>
      <c r="F314" t="s">
        <v>77</v>
      </c>
      <c r="G314" t="s">
        <v>62</v>
      </c>
      <c r="H314" t="s">
        <v>63</v>
      </c>
      <c r="I314">
        <v>2</v>
      </c>
      <c r="J314">
        <v>204.33</v>
      </c>
      <c r="K314">
        <v>0.1</v>
      </c>
      <c r="L314">
        <v>367.79</v>
      </c>
      <c r="M314">
        <v>330.34</v>
      </c>
      <c r="N314">
        <v>37.450000000000003</v>
      </c>
      <c r="O314" t="s">
        <v>27</v>
      </c>
      <c r="P314" t="s">
        <v>45</v>
      </c>
      <c r="Q314" t="s">
        <v>46</v>
      </c>
      <c r="R314" t="s">
        <v>449</v>
      </c>
      <c r="S314">
        <v>5</v>
      </c>
      <c r="T314" t="s">
        <v>379</v>
      </c>
      <c r="U314">
        <v>0.10182441066913184</v>
      </c>
    </row>
    <row r="315" spans="1:21">
      <c r="A315">
        <v>160</v>
      </c>
      <c r="B315" s="1">
        <v>45778</v>
      </c>
      <c r="C315" t="s">
        <v>450</v>
      </c>
      <c r="D315" t="s">
        <v>437</v>
      </c>
      <c r="E315" t="s">
        <v>76</v>
      </c>
      <c r="F315" t="s">
        <v>77</v>
      </c>
      <c r="G315" t="s">
        <v>62</v>
      </c>
      <c r="H315" t="s">
        <v>63</v>
      </c>
      <c r="I315">
        <v>1</v>
      </c>
      <c r="J315">
        <v>152.99</v>
      </c>
      <c r="K315">
        <v>0.02</v>
      </c>
      <c r="L315">
        <v>149.93</v>
      </c>
      <c r="M315">
        <v>101.81</v>
      </c>
      <c r="N315">
        <v>48.12</v>
      </c>
      <c r="O315" t="s">
        <v>27</v>
      </c>
      <c r="P315" t="s">
        <v>28</v>
      </c>
      <c r="Q315" t="s">
        <v>40</v>
      </c>
      <c r="R315" t="s">
        <v>449</v>
      </c>
      <c r="S315">
        <v>5</v>
      </c>
      <c r="T315" t="s">
        <v>379</v>
      </c>
      <c r="U315">
        <v>0.32094977656239576</v>
      </c>
    </row>
    <row r="316" spans="1:21">
      <c r="A316">
        <v>226</v>
      </c>
      <c r="B316" s="1">
        <v>45778</v>
      </c>
      <c r="C316" t="s">
        <v>451</v>
      </c>
      <c r="D316" t="s">
        <v>322</v>
      </c>
      <c r="E316" t="s">
        <v>23</v>
      </c>
      <c r="F316" t="s">
        <v>58</v>
      </c>
      <c r="G316" t="s">
        <v>62</v>
      </c>
      <c r="H316" t="s">
        <v>63</v>
      </c>
      <c r="I316">
        <v>4</v>
      </c>
      <c r="J316">
        <v>85.76</v>
      </c>
      <c r="K316">
        <v>0</v>
      </c>
      <c r="L316">
        <v>343.04</v>
      </c>
      <c r="M316">
        <v>239.87</v>
      </c>
      <c r="N316">
        <v>103.17</v>
      </c>
      <c r="O316" t="s">
        <v>27</v>
      </c>
      <c r="P316" t="s">
        <v>71</v>
      </c>
      <c r="Q316" t="s">
        <v>29</v>
      </c>
      <c r="R316" t="s">
        <v>449</v>
      </c>
      <c r="S316">
        <v>5</v>
      </c>
      <c r="T316" t="s">
        <v>379</v>
      </c>
      <c r="U316">
        <v>0.30075209888059701</v>
      </c>
    </row>
    <row r="317" spans="1:21">
      <c r="A317">
        <v>445</v>
      </c>
      <c r="B317" s="1">
        <v>45779</v>
      </c>
      <c r="C317" t="s">
        <v>452</v>
      </c>
      <c r="D317" t="s">
        <v>453</v>
      </c>
      <c r="E317" t="s">
        <v>54</v>
      </c>
      <c r="F317" t="s">
        <v>55</v>
      </c>
      <c r="G317" t="s">
        <v>145</v>
      </c>
      <c r="H317" t="s">
        <v>70</v>
      </c>
      <c r="I317">
        <v>1</v>
      </c>
      <c r="J317">
        <v>1369.9</v>
      </c>
      <c r="K317">
        <v>0.05</v>
      </c>
      <c r="L317">
        <v>1301.4000000000001</v>
      </c>
      <c r="M317">
        <v>985.68</v>
      </c>
      <c r="N317">
        <v>315.72000000000003</v>
      </c>
      <c r="O317" t="s">
        <v>38</v>
      </c>
      <c r="P317" t="s">
        <v>39</v>
      </c>
      <c r="Q317" t="s">
        <v>29</v>
      </c>
      <c r="R317" t="s">
        <v>449</v>
      </c>
      <c r="S317">
        <v>5</v>
      </c>
      <c r="T317" t="s">
        <v>379</v>
      </c>
      <c r="U317">
        <v>0.24260027662517289</v>
      </c>
    </row>
    <row r="318" spans="1:21">
      <c r="A318">
        <v>977</v>
      </c>
      <c r="B318" s="1">
        <v>45779</v>
      </c>
      <c r="C318" t="s">
        <v>454</v>
      </c>
      <c r="D318" t="s">
        <v>394</v>
      </c>
      <c r="E318" t="s">
        <v>34</v>
      </c>
      <c r="F318" t="s">
        <v>35</v>
      </c>
      <c r="G318" t="s">
        <v>25</v>
      </c>
      <c r="H318" t="s">
        <v>26</v>
      </c>
      <c r="I318">
        <v>1</v>
      </c>
      <c r="J318">
        <v>18382.98</v>
      </c>
      <c r="K318">
        <v>0.1</v>
      </c>
      <c r="L318">
        <v>16544.68</v>
      </c>
      <c r="M318">
        <v>13756.21</v>
      </c>
      <c r="N318">
        <v>2788.47</v>
      </c>
      <c r="O318" t="s">
        <v>38</v>
      </c>
      <c r="P318" t="s">
        <v>71</v>
      </c>
      <c r="Q318" t="s">
        <v>29</v>
      </c>
      <c r="R318" t="s">
        <v>449</v>
      </c>
      <c r="S318">
        <v>5</v>
      </c>
      <c r="T318" t="s">
        <v>379</v>
      </c>
      <c r="U318">
        <v>0.16854179107725262</v>
      </c>
    </row>
    <row r="319" spans="1:21">
      <c r="A319">
        <v>190</v>
      </c>
      <c r="B319" s="1">
        <v>45779</v>
      </c>
      <c r="C319" t="s">
        <v>413</v>
      </c>
      <c r="D319" t="s">
        <v>455</v>
      </c>
      <c r="E319" t="s">
        <v>54</v>
      </c>
      <c r="F319" t="s">
        <v>127</v>
      </c>
      <c r="G319" t="s">
        <v>62</v>
      </c>
      <c r="H319" t="s">
        <v>63</v>
      </c>
      <c r="I319">
        <v>3</v>
      </c>
      <c r="J319">
        <v>143.19</v>
      </c>
      <c r="K319">
        <v>0</v>
      </c>
      <c r="L319">
        <v>429.57</v>
      </c>
      <c r="M319">
        <v>338.46</v>
      </c>
      <c r="N319">
        <v>91.11</v>
      </c>
      <c r="O319" t="s">
        <v>38</v>
      </c>
      <c r="P319" t="s">
        <v>28</v>
      </c>
      <c r="Q319" t="s">
        <v>29</v>
      </c>
      <c r="R319" t="s">
        <v>449</v>
      </c>
      <c r="S319">
        <v>5</v>
      </c>
      <c r="T319" t="s">
        <v>379</v>
      </c>
      <c r="U319">
        <v>0.21209581674697953</v>
      </c>
    </row>
    <row r="320" spans="1:21">
      <c r="A320">
        <v>436</v>
      </c>
      <c r="B320" s="1">
        <v>45780</v>
      </c>
      <c r="C320" t="s">
        <v>456</v>
      </c>
      <c r="D320" t="s">
        <v>238</v>
      </c>
      <c r="E320" t="s">
        <v>34</v>
      </c>
      <c r="F320" t="s">
        <v>86</v>
      </c>
      <c r="G320" t="s">
        <v>105</v>
      </c>
      <c r="H320" t="s">
        <v>26</v>
      </c>
      <c r="I320">
        <v>1</v>
      </c>
      <c r="J320">
        <v>1992.05</v>
      </c>
      <c r="K320">
        <v>0.1</v>
      </c>
      <c r="L320">
        <v>1792.85</v>
      </c>
      <c r="M320">
        <v>1514.9</v>
      </c>
      <c r="N320">
        <v>277.95</v>
      </c>
      <c r="O320" t="s">
        <v>27</v>
      </c>
      <c r="P320" t="s">
        <v>28</v>
      </c>
      <c r="Q320" t="s">
        <v>40</v>
      </c>
      <c r="R320" t="s">
        <v>449</v>
      </c>
      <c r="S320">
        <v>5</v>
      </c>
      <c r="T320" t="s">
        <v>379</v>
      </c>
      <c r="U320">
        <v>0.15503249016928355</v>
      </c>
    </row>
    <row r="321" spans="1:21">
      <c r="A321">
        <v>31</v>
      </c>
      <c r="B321" s="1">
        <v>45781</v>
      </c>
      <c r="C321" t="s">
        <v>128</v>
      </c>
      <c r="D321" t="s">
        <v>188</v>
      </c>
      <c r="E321" t="s">
        <v>54</v>
      </c>
      <c r="F321" t="s">
        <v>108</v>
      </c>
      <c r="G321" t="s">
        <v>99</v>
      </c>
      <c r="H321" t="s">
        <v>26</v>
      </c>
      <c r="I321">
        <v>1</v>
      </c>
      <c r="J321">
        <v>17638.43</v>
      </c>
      <c r="K321">
        <v>0.1</v>
      </c>
      <c r="L321">
        <v>15874.59</v>
      </c>
      <c r="M321">
        <v>11544.6</v>
      </c>
      <c r="N321">
        <v>4329.99</v>
      </c>
      <c r="O321" t="s">
        <v>38</v>
      </c>
      <c r="P321" t="s">
        <v>28</v>
      </c>
      <c r="Q321" t="s">
        <v>46</v>
      </c>
      <c r="R321" t="s">
        <v>449</v>
      </c>
      <c r="S321">
        <v>5</v>
      </c>
      <c r="T321" t="s">
        <v>379</v>
      </c>
      <c r="U321">
        <v>0.27276232016070967</v>
      </c>
    </row>
    <row r="322" spans="1:21">
      <c r="A322">
        <v>912</v>
      </c>
      <c r="B322" s="1">
        <v>45782</v>
      </c>
      <c r="C322" t="s">
        <v>336</v>
      </c>
      <c r="D322" t="s">
        <v>291</v>
      </c>
      <c r="E322" t="s">
        <v>54</v>
      </c>
      <c r="F322" t="s">
        <v>55</v>
      </c>
      <c r="G322" t="s">
        <v>50</v>
      </c>
      <c r="H322" t="s">
        <v>51</v>
      </c>
      <c r="I322">
        <v>1</v>
      </c>
      <c r="J322">
        <v>840.64</v>
      </c>
      <c r="K322">
        <v>0.15</v>
      </c>
      <c r="L322">
        <v>714.54</v>
      </c>
      <c r="M322">
        <v>642.9</v>
      </c>
      <c r="N322">
        <v>71.64</v>
      </c>
      <c r="O322" t="s">
        <v>38</v>
      </c>
      <c r="P322" t="s">
        <v>39</v>
      </c>
      <c r="Q322" t="s">
        <v>46</v>
      </c>
      <c r="R322" t="s">
        <v>449</v>
      </c>
      <c r="S322">
        <v>5</v>
      </c>
      <c r="T322" t="s">
        <v>379</v>
      </c>
      <c r="U322">
        <v>0.10026030733059031</v>
      </c>
    </row>
    <row r="323" spans="1:21">
      <c r="A323">
        <v>361</v>
      </c>
      <c r="B323" s="1">
        <v>45782</v>
      </c>
      <c r="C323" t="s">
        <v>384</v>
      </c>
      <c r="D323" t="s">
        <v>130</v>
      </c>
      <c r="E323" t="s">
        <v>76</v>
      </c>
      <c r="F323" t="s">
        <v>77</v>
      </c>
      <c r="G323" t="s">
        <v>36</v>
      </c>
      <c r="H323" t="s">
        <v>37</v>
      </c>
      <c r="I323">
        <v>4</v>
      </c>
      <c r="J323">
        <v>5556.15</v>
      </c>
      <c r="K323">
        <v>0.1</v>
      </c>
      <c r="L323">
        <v>20002.14</v>
      </c>
      <c r="M323">
        <v>15832.43</v>
      </c>
      <c r="N323">
        <v>4169.71</v>
      </c>
      <c r="O323" t="s">
        <v>38</v>
      </c>
      <c r="P323" t="s">
        <v>45</v>
      </c>
      <c r="Q323" t="s">
        <v>40</v>
      </c>
      <c r="R323" t="s">
        <v>449</v>
      </c>
      <c r="S323">
        <v>5</v>
      </c>
      <c r="T323" t="s">
        <v>379</v>
      </c>
      <c r="U323">
        <v>0.20846319443819511</v>
      </c>
    </row>
    <row r="324" spans="1:21">
      <c r="A324">
        <v>866</v>
      </c>
      <c r="B324" s="1">
        <v>45782</v>
      </c>
      <c r="C324" t="s">
        <v>457</v>
      </c>
      <c r="D324" t="s">
        <v>458</v>
      </c>
      <c r="E324" t="s">
        <v>76</v>
      </c>
      <c r="F324" t="s">
        <v>81</v>
      </c>
      <c r="G324" t="s">
        <v>50</v>
      </c>
      <c r="H324" t="s">
        <v>51</v>
      </c>
      <c r="I324">
        <v>1</v>
      </c>
      <c r="J324">
        <v>1244.3599999999999</v>
      </c>
      <c r="K324">
        <v>0.15</v>
      </c>
      <c r="L324">
        <v>1057.71</v>
      </c>
      <c r="M324">
        <v>888.03</v>
      </c>
      <c r="N324">
        <v>169.68</v>
      </c>
      <c r="O324" t="s">
        <v>38</v>
      </c>
      <c r="P324" t="s">
        <v>45</v>
      </c>
      <c r="Q324" t="s">
        <v>46</v>
      </c>
      <c r="R324" t="s">
        <v>449</v>
      </c>
      <c r="S324">
        <v>5</v>
      </c>
      <c r="T324" t="s">
        <v>379</v>
      </c>
      <c r="U324">
        <v>0.16042204384944833</v>
      </c>
    </row>
    <row r="325" spans="1:21">
      <c r="A325">
        <v>512</v>
      </c>
      <c r="B325" s="1">
        <v>45782</v>
      </c>
      <c r="C325" t="s">
        <v>206</v>
      </c>
      <c r="D325" t="s">
        <v>459</v>
      </c>
      <c r="E325" t="s">
        <v>76</v>
      </c>
      <c r="F325" t="s">
        <v>81</v>
      </c>
      <c r="G325" t="s">
        <v>134</v>
      </c>
      <c r="H325" t="s">
        <v>26</v>
      </c>
      <c r="I325">
        <v>1</v>
      </c>
      <c r="J325">
        <v>22492.35</v>
      </c>
      <c r="K325">
        <v>0.02</v>
      </c>
      <c r="L325">
        <v>22042.5</v>
      </c>
      <c r="M325">
        <v>15020.03</v>
      </c>
      <c r="N325">
        <v>7022.47</v>
      </c>
      <c r="O325" t="s">
        <v>38</v>
      </c>
      <c r="P325" t="s">
        <v>45</v>
      </c>
      <c r="Q325" t="s">
        <v>40</v>
      </c>
      <c r="R325" t="s">
        <v>449</v>
      </c>
      <c r="S325">
        <v>5</v>
      </c>
      <c r="T325" t="s">
        <v>379</v>
      </c>
      <c r="U325">
        <v>0.31858772825224002</v>
      </c>
    </row>
    <row r="326" spans="1:21">
      <c r="A326">
        <v>817</v>
      </c>
      <c r="B326" s="1">
        <v>45782</v>
      </c>
      <c r="C326" t="s">
        <v>460</v>
      </c>
      <c r="D326" t="s">
        <v>154</v>
      </c>
      <c r="E326" t="s">
        <v>76</v>
      </c>
      <c r="F326" t="s">
        <v>113</v>
      </c>
      <c r="G326" t="s">
        <v>99</v>
      </c>
      <c r="H326" t="s">
        <v>26</v>
      </c>
      <c r="I326">
        <v>1</v>
      </c>
      <c r="J326">
        <v>24648.04</v>
      </c>
      <c r="K326">
        <v>0.15</v>
      </c>
      <c r="L326">
        <v>20950.830000000002</v>
      </c>
      <c r="M326">
        <v>15350.18</v>
      </c>
      <c r="N326">
        <v>5600.65</v>
      </c>
      <c r="O326" t="s">
        <v>27</v>
      </c>
      <c r="P326" t="s">
        <v>28</v>
      </c>
      <c r="Q326" t="s">
        <v>29</v>
      </c>
      <c r="R326" t="s">
        <v>449</v>
      </c>
      <c r="S326">
        <v>5</v>
      </c>
      <c r="T326" t="s">
        <v>379</v>
      </c>
      <c r="U326">
        <v>0.26732353801734821</v>
      </c>
    </row>
    <row r="327" spans="1:21">
      <c r="A327">
        <v>824</v>
      </c>
      <c r="B327" s="1">
        <v>45782</v>
      </c>
      <c r="C327" t="s">
        <v>135</v>
      </c>
      <c r="D327" t="s">
        <v>461</v>
      </c>
      <c r="E327" t="s">
        <v>76</v>
      </c>
      <c r="F327" t="s">
        <v>77</v>
      </c>
      <c r="G327" t="s">
        <v>145</v>
      </c>
      <c r="H327" t="s">
        <v>70</v>
      </c>
      <c r="I327">
        <v>2</v>
      </c>
      <c r="J327">
        <v>728.63</v>
      </c>
      <c r="K327">
        <v>0.05</v>
      </c>
      <c r="L327">
        <v>1384.4</v>
      </c>
      <c r="M327">
        <v>934.96</v>
      </c>
      <c r="N327">
        <v>449.44</v>
      </c>
      <c r="O327" t="s">
        <v>38</v>
      </c>
      <c r="P327" t="s">
        <v>28</v>
      </c>
      <c r="Q327" t="s">
        <v>46</v>
      </c>
      <c r="R327" t="s">
        <v>449</v>
      </c>
      <c r="S327">
        <v>5</v>
      </c>
      <c r="T327" t="s">
        <v>379</v>
      </c>
      <c r="U327">
        <v>0.32464605605316382</v>
      </c>
    </row>
    <row r="328" spans="1:21">
      <c r="A328">
        <v>459</v>
      </c>
      <c r="B328" s="1">
        <v>45783</v>
      </c>
      <c r="C328" t="s">
        <v>172</v>
      </c>
      <c r="D328" t="s">
        <v>210</v>
      </c>
      <c r="E328" t="s">
        <v>54</v>
      </c>
      <c r="F328" t="s">
        <v>127</v>
      </c>
      <c r="G328" t="s">
        <v>36</v>
      </c>
      <c r="H328" t="s">
        <v>37</v>
      </c>
      <c r="I328">
        <v>3</v>
      </c>
      <c r="J328">
        <v>10256.52</v>
      </c>
      <c r="K328">
        <v>0</v>
      </c>
      <c r="L328">
        <v>30769.56</v>
      </c>
      <c r="M328">
        <v>20647.5</v>
      </c>
      <c r="N328">
        <v>10122.06</v>
      </c>
      <c r="O328" t="s">
        <v>38</v>
      </c>
      <c r="P328" t="s">
        <v>39</v>
      </c>
      <c r="Q328" t="s">
        <v>29</v>
      </c>
      <c r="R328" t="s">
        <v>449</v>
      </c>
      <c r="S328">
        <v>5</v>
      </c>
      <c r="T328" t="s">
        <v>379</v>
      </c>
      <c r="U328">
        <v>0.32896343009129797</v>
      </c>
    </row>
    <row r="329" spans="1:21">
      <c r="A329">
        <v>307</v>
      </c>
      <c r="B329" s="1">
        <v>45783</v>
      </c>
      <c r="C329" t="s">
        <v>199</v>
      </c>
      <c r="D329" t="s">
        <v>238</v>
      </c>
      <c r="E329" t="s">
        <v>23</v>
      </c>
      <c r="F329" t="s">
        <v>43</v>
      </c>
      <c r="G329" t="s">
        <v>134</v>
      </c>
      <c r="H329" t="s">
        <v>26</v>
      </c>
      <c r="I329">
        <v>2</v>
      </c>
      <c r="J329">
        <v>27157.87</v>
      </c>
      <c r="K329">
        <v>0</v>
      </c>
      <c r="L329">
        <v>54315.74</v>
      </c>
      <c r="M329">
        <v>41426.79</v>
      </c>
      <c r="N329">
        <v>12888.95</v>
      </c>
      <c r="O329" t="s">
        <v>27</v>
      </c>
      <c r="P329" t="s">
        <v>28</v>
      </c>
      <c r="Q329" t="s">
        <v>40</v>
      </c>
      <c r="R329" t="s">
        <v>449</v>
      </c>
      <c r="S329">
        <v>5</v>
      </c>
      <c r="T329" t="s">
        <v>379</v>
      </c>
      <c r="U329">
        <v>0.23729677621993184</v>
      </c>
    </row>
    <row r="330" spans="1:21">
      <c r="A330">
        <v>32</v>
      </c>
      <c r="B330" s="1">
        <v>45784</v>
      </c>
      <c r="C330" t="s">
        <v>331</v>
      </c>
      <c r="D330" t="s">
        <v>431</v>
      </c>
      <c r="E330" t="s">
        <v>23</v>
      </c>
      <c r="F330" t="s">
        <v>24</v>
      </c>
      <c r="G330" t="s">
        <v>59</v>
      </c>
      <c r="H330" t="s">
        <v>37</v>
      </c>
      <c r="I330">
        <v>1</v>
      </c>
      <c r="J330">
        <v>8261.19</v>
      </c>
      <c r="K330">
        <v>0.15</v>
      </c>
      <c r="L330">
        <v>7022.01</v>
      </c>
      <c r="M330">
        <v>5295.65</v>
      </c>
      <c r="N330">
        <v>1726.36</v>
      </c>
      <c r="O330" t="s">
        <v>27</v>
      </c>
      <c r="P330" t="s">
        <v>28</v>
      </c>
      <c r="Q330" t="s">
        <v>46</v>
      </c>
      <c r="R330" t="s">
        <v>449</v>
      </c>
      <c r="S330">
        <v>5</v>
      </c>
      <c r="T330" t="s">
        <v>379</v>
      </c>
      <c r="U330">
        <v>0.24584983501874816</v>
      </c>
    </row>
    <row r="331" spans="1:21">
      <c r="A331">
        <v>812</v>
      </c>
      <c r="B331" s="1">
        <v>45784</v>
      </c>
      <c r="C331" t="s">
        <v>462</v>
      </c>
      <c r="D331" t="s">
        <v>210</v>
      </c>
      <c r="E331" t="s">
        <v>76</v>
      </c>
      <c r="F331" t="s">
        <v>113</v>
      </c>
      <c r="G331" t="s">
        <v>25</v>
      </c>
      <c r="H331" t="s">
        <v>26</v>
      </c>
      <c r="I331">
        <v>1</v>
      </c>
      <c r="J331">
        <v>12572.94</v>
      </c>
      <c r="K331">
        <v>0.02</v>
      </c>
      <c r="L331">
        <v>12321.48</v>
      </c>
      <c r="M331">
        <v>8679.5499999999993</v>
      </c>
      <c r="N331">
        <v>3641.93</v>
      </c>
      <c r="O331" t="s">
        <v>38</v>
      </c>
      <c r="P331" t="s">
        <v>39</v>
      </c>
      <c r="Q331" t="s">
        <v>46</v>
      </c>
      <c r="R331" t="s">
        <v>449</v>
      </c>
      <c r="S331">
        <v>5</v>
      </c>
      <c r="T331" t="s">
        <v>379</v>
      </c>
      <c r="U331">
        <v>0.29557569382898807</v>
      </c>
    </row>
    <row r="332" spans="1:21">
      <c r="A332">
        <v>369</v>
      </c>
      <c r="B332" s="1">
        <v>45784</v>
      </c>
      <c r="C332" t="s">
        <v>363</v>
      </c>
      <c r="D332" t="s">
        <v>463</v>
      </c>
      <c r="E332" t="s">
        <v>97</v>
      </c>
      <c r="F332" t="s">
        <v>104</v>
      </c>
      <c r="G332" t="s">
        <v>69</v>
      </c>
      <c r="H332" t="s">
        <v>70</v>
      </c>
      <c r="I332">
        <v>4</v>
      </c>
      <c r="J332">
        <v>3159.99</v>
      </c>
      <c r="K332">
        <v>0.1</v>
      </c>
      <c r="L332">
        <v>11375.96</v>
      </c>
      <c r="M332">
        <v>7838.92</v>
      </c>
      <c r="N332">
        <v>3537.04</v>
      </c>
      <c r="O332" t="s">
        <v>27</v>
      </c>
      <c r="P332" t="s">
        <v>71</v>
      </c>
      <c r="Q332" t="s">
        <v>29</v>
      </c>
      <c r="R332" t="s">
        <v>449</v>
      </c>
      <c r="S332">
        <v>5</v>
      </c>
      <c r="T332" t="s">
        <v>379</v>
      </c>
      <c r="U332">
        <v>0.31092233095053079</v>
      </c>
    </row>
    <row r="333" spans="1:21">
      <c r="A333">
        <v>419</v>
      </c>
      <c r="B333" s="1">
        <v>45784</v>
      </c>
      <c r="C333" t="s">
        <v>41</v>
      </c>
      <c r="D333" t="s">
        <v>464</v>
      </c>
      <c r="E333" t="s">
        <v>54</v>
      </c>
      <c r="F333" t="s">
        <v>108</v>
      </c>
      <c r="G333" t="s">
        <v>36</v>
      </c>
      <c r="H333" t="s">
        <v>37</v>
      </c>
      <c r="I333">
        <v>2</v>
      </c>
      <c r="J333">
        <v>14219.13</v>
      </c>
      <c r="K333">
        <v>0.1</v>
      </c>
      <c r="L333">
        <v>25594.43</v>
      </c>
      <c r="M333">
        <v>23005.93</v>
      </c>
      <c r="N333">
        <v>2588.5</v>
      </c>
      <c r="O333" t="s">
        <v>38</v>
      </c>
      <c r="P333" t="s">
        <v>71</v>
      </c>
      <c r="Q333" t="s">
        <v>40</v>
      </c>
      <c r="R333" t="s">
        <v>449</v>
      </c>
      <c r="S333">
        <v>5</v>
      </c>
      <c r="T333" t="s">
        <v>379</v>
      </c>
      <c r="U333">
        <v>0.10113528607591574</v>
      </c>
    </row>
    <row r="334" spans="1:21">
      <c r="A334">
        <v>238</v>
      </c>
      <c r="B334" s="1">
        <v>45784</v>
      </c>
      <c r="C334" t="s">
        <v>185</v>
      </c>
      <c r="D334" t="s">
        <v>465</v>
      </c>
      <c r="E334" t="s">
        <v>97</v>
      </c>
      <c r="F334" t="s">
        <v>104</v>
      </c>
      <c r="G334" t="s">
        <v>99</v>
      </c>
      <c r="H334" t="s">
        <v>26</v>
      </c>
      <c r="I334">
        <v>1</v>
      </c>
      <c r="J334">
        <v>23418.39</v>
      </c>
      <c r="K334">
        <v>0.1</v>
      </c>
      <c r="L334">
        <v>21076.55</v>
      </c>
      <c r="M334">
        <v>16856.509999999998</v>
      </c>
      <c r="N334">
        <v>4220.04</v>
      </c>
      <c r="O334" t="s">
        <v>38</v>
      </c>
      <c r="P334" t="s">
        <v>78</v>
      </c>
      <c r="Q334" t="s">
        <v>29</v>
      </c>
      <c r="R334" t="s">
        <v>449</v>
      </c>
      <c r="S334">
        <v>5</v>
      </c>
      <c r="T334" t="s">
        <v>379</v>
      </c>
      <c r="U334">
        <v>0.20022442003079252</v>
      </c>
    </row>
    <row r="335" spans="1:21">
      <c r="A335">
        <v>950</v>
      </c>
      <c r="B335" s="1">
        <v>45786</v>
      </c>
      <c r="C335" t="s">
        <v>164</v>
      </c>
      <c r="D335" t="s">
        <v>143</v>
      </c>
      <c r="E335" t="s">
        <v>97</v>
      </c>
      <c r="F335" t="s">
        <v>98</v>
      </c>
      <c r="G335" t="s">
        <v>36</v>
      </c>
      <c r="H335" t="s">
        <v>37</v>
      </c>
      <c r="I335">
        <v>1</v>
      </c>
      <c r="J335">
        <v>8594.91</v>
      </c>
      <c r="K335">
        <v>0.05</v>
      </c>
      <c r="L335">
        <v>8165.16</v>
      </c>
      <c r="M335">
        <v>7010.22</v>
      </c>
      <c r="N335">
        <v>1154.94</v>
      </c>
      <c r="O335" t="s">
        <v>27</v>
      </c>
      <c r="P335" t="s">
        <v>39</v>
      </c>
      <c r="Q335" t="s">
        <v>46</v>
      </c>
      <c r="R335" t="s">
        <v>449</v>
      </c>
      <c r="S335">
        <v>5</v>
      </c>
      <c r="T335" t="s">
        <v>379</v>
      </c>
      <c r="U335">
        <v>0.14144732007701014</v>
      </c>
    </row>
    <row r="336" spans="1:21">
      <c r="A336">
        <v>153</v>
      </c>
      <c r="B336" s="1">
        <v>45786</v>
      </c>
      <c r="C336" t="s">
        <v>466</v>
      </c>
      <c r="D336" t="s">
        <v>467</v>
      </c>
      <c r="E336" t="s">
        <v>23</v>
      </c>
      <c r="F336" t="s">
        <v>24</v>
      </c>
      <c r="G336" t="s">
        <v>134</v>
      </c>
      <c r="H336" t="s">
        <v>26</v>
      </c>
      <c r="I336">
        <v>1</v>
      </c>
      <c r="J336">
        <v>46204.55</v>
      </c>
      <c r="K336">
        <v>0.05</v>
      </c>
      <c r="L336">
        <v>43894.32</v>
      </c>
      <c r="M336">
        <v>39085.08</v>
      </c>
      <c r="N336">
        <v>4809.24</v>
      </c>
      <c r="O336" t="s">
        <v>38</v>
      </c>
      <c r="P336" t="s">
        <v>28</v>
      </c>
      <c r="Q336" t="s">
        <v>40</v>
      </c>
      <c r="R336" t="s">
        <v>449</v>
      </c>
      <c r="S336">
        <v>5</v>
      </c>
      <c r="T336" t="s">
        <v>379</v>
      </c>
      <c r="U336">
        <v>0.10956406204720792</v>
      </c>
    </row>
    <row r="337" spans="1:21">
      <c r="A337">
        <v>610</v>
      </c>
      <c r="B337" s="1">
        <v>45787</v>
      </c>
      <c r="C337" t="s">
        <v>468</v>
      </c>
      <c r="D337" t="s">
        <v>115</v>
      </c>
      <c r="E337" t="s">
        <v>97</v>
      </c>
      <c r="F337" t="s">
        <v>104</v>
      </c>
      <c r="G337" t="s">
        <v>69</v>
      </c>
      <c r="H337" t="s">
        <v>70</v>
      </c>
      <c r="I337">
        <v>2</v>
      </c>
      <c r="J337">
        <v>3453.72</v>
      </c>
      <c r="K337">
        <v>0.05</v>
      </c>
      <c r="L337">
        <v>6562.07</v>
      </c>
      <c r="M337">
        <v>4539.54</v>
      </c>
      <c r="N337">
        <v>2022.53</v>
      </c>
      <c r="O337" t="s">
        <v>38</v>
      </c>
      <c r="P337" t="s">
        <v>45</v>
      </c>
      <c r="Q337" t="s">
        <v>46</v>
      </c>
      <c r="R337" t="s">
        <v>449</v>
      </c>
      <c r="S337">
        <v>5</v>
      </c>
      <c r="T337" t="s">
        <v>379</v>
      </c>
      <c r="U337">
        <v>0.30821524305592596</v>
      </c>
    </row>
    <row r="338" spans="1:21">
      <c r="A338">
        <v>16</v>
      </c>
      <c r="B338" s="1">
        <v>45787</v>
      </c>
      <c r="C338" t="s">
        <v>199</v>
      </c>
      <c r="D338" t="s">
        <v>137</v>
      </c>
      <c r="E338" t="s">
        <v>34</v>
      </c>
      <c r="F338" t="s">
        <v>49</v>
      </c>
      <c r="G338" t="s">
        <v>59</v>
      </c>
      <c r="H338" t="s">
        <v>37</v>
      </c>
      <c r="I338">
        <v>1</v>
      </c>
      <c r="J338">
        <v>8622.4</v>
      </c>
      <c r="K338">
        <v>0</v>
      </c>
      <c r="L338">
        <v>8622.4</v>
      </c>
      <c r="M338">
        <v>5882.94</v>
      </c>
      <c r="N338">
        <v>2739.46</v>
      </c>
      <c r="O338" t="s">
        <v>27</v>
      </c>
      <c r="P338" t="s">
        <v>78</v>
      </c>
      <c r="Q338" t="s">
        <v>46</v>
      </c>
      <c r="R338" t="s">
        <v>449</v>
      </c>
      <c r="S338">
        <v>5</v>
      </c>
      <c r="T338" t="s">
        <v>379</v>
      </c>
      <c r="U338">
        <v>0.31771432547782524</v>
      </c>
    </row>
    <row r="339" spans="1:21">
      <c r="A339">
        <v>367</v>
      </c>
      <c r="B339" s="1">
        <v>45788</v>
      </c>
      <c r="C339" t="s">
        <v>469</v>
      </c>
      <c r="D339" t="s">
        <v>402</v>
      </c>
      <c r="E339" t="s">
        <v>97</v>
      </c>
      <c r="F339" t="s">
        <v>98</v>
      </c>
      <c r="G339" t="s">
        <v>50</v>
      </c>
      <c r="H339" t="s">
        <v>51</v>
      </c>
      <c r="I339">
        <v>3</v>
      </c>
      <c r="J339">
        <v>469.47</v>
      </c>
      <c r="K339">
        <v>0.1</v>
      </c>
      <c r="L339">
        <v>1267.57</v>
      </c>
      <c r="M339">
        <v>933.75</v>
      </c>
      <c r="N339">
        <v>333.82</v>
      </c>
      <c r="O339" t="s">
        <v>27</v>
      </c>
      <c r="P339" t="s">
        <v>71</v>
      </c>
      <c r="Q339" t="s">
        <v>40</v>
      </c>
      <c r="R339" t="s">
        <v>449</v>
      </c>
      <c r="S339">
        <v>5</v>
      </c>
      <c r="T339" t="s">
        <v>379</v>
      </c>
      <c r="U339">
        <v>0.26335429207065486</v>
      </c>
    </row>
    <row r="340" spans="1:21">
      <c r="A340">
        <v>756</v>
      </c>
      <c r="B340" s="1">
        <v>45788</v>
      </c>
      <c r="C340" t="s">
        <v>119</v>
      </c>
      <c r="D340" t="s">
        <v>271</v>
      </c>
      <c r="E340" t="s">
        <v>34</v>
      </c>
      <c r="F340" t="s">
        <v>86</v>
      </c>
      <c r="G340" t="s">
        <v>105</v>
      </c>
      <c r="H340" t="s">
        <v>26</v>
      </c>
      <c r="I340">
        <v>1</v>
      </c>
      <c r="J340">
        <v>2447.16</v>
      </c>
      <c r="K340">
        <v>0.05</v>
      </c>
      <c r="L340">
        <v>2324.8000000000002</v>
      </c>
      <c r="M340">
        <v>1531.9</v>
      </c>
      <c r="N340">
        <v>792.9</v>
      </c>
      <c r="O340" t="s">
        <v>38</v>
      </c>
      <c r="P340" t="s">
        <v>71</v>
      </c>
      <c r="Q340" t="s">
        <v>29</v>
      </c>
      <c r="R340" t="s">
        <v>449</v>
      </c>
      <c r="S340">
        <v>5</v>
      </c>
      <c r="T340" t="s">
        <v>379</v>
      </c>
      <c r="U340">
        <v>0.34106159669649</v>
      </c>
    </row>
    <row r="341" spans="1:21">
      <c r="A341">
        <v>685</v>
      </c>
      <c r="B341" s="1">
        <v>45789</v>
      </c>
      <c r="C341" t="s">
        <v>427</v>
      </c>
      <c r="D341" t="s">
        <v>243</v>
      </c>
      <c r="E341" t="s">
        <v>97</v>
      </c>
      <c r="F341" t="s">
        <v>148</v>
      </c>
      <c r="G341" t="s">
        <v>99</v>
      </c>
      <c r="H341" t="s">
        <v>26</v>
      </c>
      <c r="I341">
        <v>1</v>
      </c>
      <c r="J341">
        <v>9086.23</v>
      </c>
      <c r="K341">
        <v>0</v>
      </c>
      <c r="L341">
        <v>9086.23</v>
      </c>
      <c r="M341">
        <v>6617.73</v>
      </c>
      <c r="N341">
        <v>2468.5</v>
      </c>
      <c r="O341" t="s">
        <v>38</v>
      </c>
      <c r="P341" t="s">
        <v>28</v>
      </c>
      <c r="Q341" t="s">
        <v>29</v>
      </c>
      <c r="R341" t="s">
        <v>449</v>
      </c>
      <c r="S341">
        <v>5</v>
      </c>
      <c r="T341" t="s">
        <v>379</v>
      </c>
      <c r="U341">
        <v>0.27167483103553403</v>
      </c>
    </row>
    <row r="342" spans="1:21">
      <c r="A342">
        <v>763</v>
      </c>
      <c r="B342" s="1">
        <v>45789</v>
      </c>
      <c r="C342" t="s">
        <v>470</v>
      </c>
      <c r="D342" t="s">
        <v>471</v>
      </c>
      <c r="E342" t="s">
        <v>76</v>
      </c>
      <c r="F342" t="s">
        <v>81</v>
      </c>
      <c r="G342" t="s">
        <v>44</v>
      </c>
      <c r="H342" t="s">
        <v>26</v>
      </c>
      <c r="I342">
        <v>2</v>
      </c>
      <c r="J342">
        <v>72006.350000000006</v>
      </c>
      <c r="K342">
        <v>0.15</v>
      </c>
      <c r="L342">
        <v>122410.8</v>
      </c>
      <c r="M342">
        <v>114328.2</v>
      </c>
      <c r="N342">
        <v>8082.6</v>
      </c>
      <c r="O342" t="s">
        <v>27</v>
      </c>
      <c r="P342" t="s">
        <v>45</v>
      </c>
      <c r="Q342" t="s">
        <v>40</v>
      </c>
      <c r="R342" t="s">
        <v>449</v>
      </c>
      <c r="S342">
        <v>5</v>
      </c>
      <c r="T342" t="s">
        <v>379</v>
      </c>
      <c r="U342">
        <v>6.6028487682459391E-2</v>
      </c>
    </row>
    <row r="343" spans="1:21">
      <c r="A343">
        <v>196</v>
      </c>
      <c r="B343" s="1">
        <v>45789</v>
      </c>
      <c r="C343" t="s">
        <v>472</v>
      </c>
      <c r="D343" t="s">
        <v>243</v>
      </c>
      <c r="E343" t="s">
        <v>76</v>
      </c>
      <c r="F343" t="s">
        <v>113</v>
      </c>
      <c r="G343" t="s">
        <v>99</v>
      </c>
      <c r="H343" t="s">
        <v>26</v>
      </c>
      <c r="I343">
        <v>1</v>
      </c>
      <c r="J343">
        <v>15865.56</v>
      </c>
      <c r="K343">
        <v>0.05</v>
      </c>
      <c r="L343">
        <v>15072.28</v>
      </c>
      <c r="M343">
        <v>13946.57</v>
      </c>
      <c r="N343">
        <v>1125.71</v>
      </c>
      <c r="O343" t="s">
        <v>27</v>
      </c>
      <c r="P343" t="s">
        <v>45</v>
      </c>
      <c r="Q343" t="s">
        <v>40</v>
      </c>
      <c r="R343" t="s">
        <v>449</v>
      </c>
      <c r="S343">
        <v>5</v>
      </c>
      <c r="T343" t="s">
        <v>379</v>
      </c>
      <c r="U343">
        <v>7.4687439458396468E-2</v>
      </c>
    </row>
    <row r="344" spans="1:21">
      <c r="A344">
        <v>943</v>
      </c>
      <c r="B344" s="1">
        <v>45789</v>
      </c>
      <c r="C344" t="s">
        <v>231</v>
      </c>
      <c r="D344" t="s">
        <v>473</v>
      </c>
      <c r="E344" t="s">
        <v>34</v>
      </c>
      <c r="F344" t="s">
        <v>49</v>
      </c>
      <c r="G344" t="s">
        <v>134</v>
      </c>
      <c r="H344" t="s">
        <v>26</v>
      </c>
      <c r="I344">
        <v>2</v>
      </c>
      <c r="J344">
        <v>29461.32</v>
      </c>
      <c r="K344">
        <v>0.15</v>
      </c>
      <c r="L344">
        <v>50084.24</v>
      </c>
      <c r="M344">
        <v>48949.06</v>
      </c>
      <c r="N344">
        <v>1135.18</v>
      </c>
      <c r="O344" t="s">
        <v>38</v>
      </c>
      <c r="P344" t="s">
        <v>78</v>
      </c>
      <c r="Q344" t="s">
        <v>40</v>
      </c>
      <c r="R344" t="s">
        <v>449</v>
      </c>
      <c r="S344">
        <v>5</v>
      </c>
      <c r="T344" t="s">
        <v>379</v>
      </c>
      <c r="U344">
        <v>2.2665413311652529E-2</v>
      </c>
    </row>
    <row r="345" spans="1:21">
      <c r="A345">
        <v>353</v>
      </c>
      <c r="B345" s="1">
        <v>45790</v>
      </c>
      <c r="C345" t="s">
        <v>153</v>
      </c>
      <c r="D345" t="s">
        <v>474</v>
      </c>
      <c r="E345" t="s">
        <v>34</v>
      </c>
      <c r="F345" t="s">
        <v>35</v>
      </c>
      <c r="G345" t="s">
        <v>59</v>
      </c>
      <c r="H345" t="s">
        <v>37</v>
      </c>
      <c r="I345">
        <v>4</v>
      </c>
      <c r="J345">
        <v>16227.34</v>
      </c>
      <c r="K345">
        <v>0.05</v>
      </c>
      <c r="L345">
        <v>61663.89</v>
      </c>
      <c r="M345">
        <v>43068.19</v>
      </c>
      <c r="N345">
        <v>18595.7</v>
      </c>
      <c r="O345" t="s">
        <v>27</v>
      </c>
      <c r="P345" t="s">
        <v>39</v>
      </c>
      <c r="Q345" t="s">
        <v>29</v>
      </c>
      <c r="R345" t="s">
        <v>449</v>
      </c>
      <c r="S345">
        <v>5</v>
      </c>
      <c r="T345" t="s">
        <v>379</v>
      </c>
      <c r="U345">
        <v>0.30156547048848203</v>
      </c>
    </row>
    <row r="346" spans="1:21">
      <c r="A346">
        <v>218</v>
      </c>
      <c r="B346" s="1">
        <v>45790</v>
      </c>
      <c r="C346" t="s">
        <v>475</v>
      </c>
      <c r="D346" t="s">
        <v>337</v>
      </c>
      <c r="E346" t="s">
        <v>97</v>
      </c>
      <c r="F346" t="s">
        <v>104</v>
      </c>
      <c r="G346" t="s">
        <v>44</v>
      </c>
      <c r="H346" t="s">
        <v>26</v>
      </c>
      <c r="I346">
        <v>2</v>
      </c>
      <c r="J346">
        <v>55587.28</v>
      </c>
      <c r="K346">
        <v>0.02</v>
      </c>
      <c r="L346">
        <v>108951.07</v>
      </c>
      <c r="M346">
        <v>74991.22</v>
      </c>
      <c r="N346">
        <v>33959.85</v>
      </c>
      <c r="O346" t="s">
        <v>27</v>
      </c>
      <c r="P346" t="s">
        <v>71</v>
      </c>
      <c r="Q346" t="s">
        <v>29</v>
      </c>
      <c r="R346" t="s">
        <v>449</v>
      </c>
      <c r="S346">
        <v>5</v>
      </c>
      <c r="T346" t="s">
        <v>379</v>
      </c>
      <c r="U346">
        <v>0.31169817790683468</v>
      </c>
    </row>
    <row r="347" spans="1:21">
      <c r="A347">
        <v>179</v>
      </c>
      <c r="B347" s="1">
        <v>45790</v>
      </c>
      <c r="C347" t="s">
        <v>117</v>
      </c>
      <c r="D347" t="s">
        <v>92</v>
      </c>
      <c r="E347" t="s">
        <v>76</v>
      </c>
      <c r="F347" t="s">
        <v>81</v>
      </c>
      <c r="G347" t="s">
        <v>59</v>
      </c>
      <c r="H347" t="s">
        <v>37</v>
      </c>
      <c r="I347">
        <v>3</v>
      </c>
      <c r="J347">
        <v>11831.56</v>
      </c>
      <c r="K347">
        <v>0.15</v>
      </c>
      <c r="L347">
        <v>30170.48</v>
      </c>
      <c r="M347">
        <v>25578.9</v>
      </c>
      <c r="N347">
        <v>4591.58</v>
      </c>
      <c r="O347" t="s">
        <v>38</v>
      </c>
      <c r="P347" t="s">
        <v>71</v>
      </c>
      <c r="Q347" t="s">
        <v>40</v>
      </c>
      <c r="R347" t="s">
        <v>449</v>
      </c>
      <c r="S347">
        <v>5</v>
      </c>
      <c r="T347" t="s">
        <v>379</v>
      </c>
      <c r="U347">
        <v>0.15218783393568813</v>
      </c>
    </row>
    <row r="348" spans="1:21">
      <c r="A348">
        <v>655</v>
      </c>
      <c r="B348" s="1">
        <v>45790</v>
      </c>
      <c r="C348" t="s">
        <v>140</v>
      </c>
      <c r="D348" t="s">
        <v>291</v>
      </c>
      <c r="E348" t="s">
        <v>23</v>
      </c>
      <c r="F348" t="s">
        <v>24</v>
      </c>
      <c r="G348" t="s">
        <v>36</v>
      </c>
      <c r="H348" t="s">
        <v>37</v>
      </c>
      <c r="I348">
        <v>2</v>
      </c>
      <c r="J348">
        <v>9889.7199999999993</v>
      </c>
      <c r="K348">
        <v>0.1</v>
      </c>
      <c r="L348">
        <v>17801.5</v>
      </c>
      <c r="M348">
        <v>15440.73</v>
      </c>
      <c r="N348">
        <v>2360.77</v>
      </c>
      <c r="O348" t="s">
        <v>27</v>
      </c>
      <c r="P348" t="s">
        <v>39</v>
      </c>
      <c r="Q348" t="s">
        <v>29</v>
      </c>
      <c r="R348" t="s">
        <v>449</v>
      </c>
      <c r="S348">
        <v>5</v>
      </c>
      <c r="T348" t="s">
        <v>379</v>
      </c>
      <c r="U348">
        <v>0.13261635255456</v>
      </c>
    </row>
    <row r="349" spans="1:21">
      <c r="A349">
        <v>442</v>
      </c>
      <c r="B349" s="1">
        <v>45791</v>
      </c>
      <c r="C349" t="s">
        <v>239</v>
      </c>
      <c r="D349" t="s">
        <v>198</v>
      </c>
      <c r="E349" t="s">
        <v>54</v>
      </c>
      <c r="F349" t="s">
        <v>127</v>
      </c>
      <c r="G349" t="s">
        <v>134</v>
      </c>
      <c r="H349" t="s">
        <v>26</v>
      </c>
      <c r="I349">
        <v>3</v>
      </c>
      <c r="J349">
        <v>47591.98</v>
      </c>
      <c r="K349">
        <v>0.02</v>
      </c>
      <c r="L349">
        <v>139920.42000000001</v>
      </c>
      <c r="M349">
        <v>119181.13</v>
      </c>
      <c r="N349">
        <v>20739.29</v>
      </c>
      <c r="O349" t="s">
        <v>38</v>
      </c>
      <c r="P349" t="s">
        <v>39</v>
      </c>
      <c r="Q349" t="s">
        <v>46</v>
      </c>
      <c r="R349" t="s">
        <v>449</v>
      </c>
      <c r="S349">
        <v>5</v>
      </c>
      <c r="T349" t="s">
        <v>379</v>
      </c>
      <c r="U349">
        <v>0.14822203935637127</v>
      </c>
    </row>
    <row r="350" spans="1:21">
      <c r="A350">
        <v>600</v>
      </c>
      <c r="B350" s="1">
        <v>45791</v>
      </c>
      <c r="C350" t="s">
        <v>109</v>
      </c>
      <c r="D350" t="s">
        <v>371</v>
      </c>
      <c r="E350" t="s">
        <v>34</v>
      </c>
      <c r="F350" t="s">
        <v>86</v>
      </c>
      <c r="G350" t="s">
        <v>59</v>
      </c>
      <c r="H350" t="s">
        <v>37</v>
      </c>
      <c r="I350">
        <v>1</v>
      </c>
      <c r="J350">
        <v>11596.07</v>
      </c>
      <c r="K350">
        <v>0</v>
      </c>
      <c r="L350">
        <v>11596.07</v>
      </c>
      <c r="M350">
        <v>8895.59</v>
      </c>
      <c r="N350">
        <v>2700.48</v>
      </c>
      <c r="O350" t="s">
        <v>27</v>
      </c>
      <c r="P350" t="s">
        <v>45</v>
      </c>
      <c r="Q350" t="s">
        <v>40</v>
      </c>
      <c r="R350" t="s">
        <v>449</v>
      </c>
      <c r="S350">
        <v>5</v>
      </c>
      <c r="T350" t="s">
        <v>379</v>
      </c>
      <c r="U350">
        <v>0.23287889776450127</v>
      </c>
    </row>
    <row r="351" spans="1:21">
      <c r="A351">
        <v>276</v>
      </c>
      <c r="B351" s="1">
        <v>45791</v>
      </c>
      <c r="C351" t="s">
        <v>408</v>
      </c>
      <c r="D351" t="s">
        <v>264</v>
      </c>
      <c r="E351" t="s">
        <v>54</v>
      </c>
      <c r="F351" t="s">
        <v>55</v>
      </c>
      <c r="G351" t="s">
        <v>145</v>
      </c>
      <c r="H351" t="s">
        <v>70</v>
      </c>
      <c r="I351">
        <v>1</v>
      </c>
      <c r="J351">
        <v>528.80999999999995</v>
      </c>
      <c r="K351">
        <v>0</v>
      </c>
      <c r="L351">
        <v>528.80999999999995</v>
      </c>
      <c r="M351">
        <v>344.39</v>
      </c>
      <c r="N351">
        <v>184.42</v>
      </c>
      <c r="O351" t="s">
        <v>38</v>
      </c>
      <c r="P351" t="s">
        <v>45</v>
      </c>
      <c r="Q351" t="s">
        <v>46</v>
      </c>
      <c r="R351" t="s">
        <v>449</v>
      </c>
      <c r="S351">
        <v>5</v>
      </c>
      <c r="T351" t="s">
        <v>379</v>
      </c>
      <c r="U351">
        <v>0.34874529604205673</v>
      </c>
    </row>
    <row r="352" spans="1:21">
      <c r="A352">
        <v>172</v>
      </c>
      <c r="B352" s="1">
        <v>45791</v>
      </c>
      <c r="C352" t="s">
        <v>119</v>
      </c>
      <c r="D352" t="s">
        <v>53</v>
      </c>
      <c r="E352" t="s">
        <v>97</v>
      </c>
      <c r="F352" t="s">
        <v>148</v>
      </c>
      <c r="G352" t="s">
        <v>145</v>
      </c>
      <c r="H352" t="s">
        <v>70</v>
      </c>
      <c r="I352">
        <v>1</v>
      </c>
      <c r="J352">
        <v>1889.66</v>
      </c>
      <c r="K352">
        <v>0.02</v>
      </c>
      <c r="L352">
        <v>1851.87</v>
      </c>
      <c r="M352">
        <v>1598.08</v>
      </c>
      <c r="N352">
        <v>253.79</v>
      </c>
      <c r="O352" t="s">
        <v>27</v>
      </c>
      <c r="P352" t="s">
        <v>28</v>
      </c>
      <c r="Q352" t="s">
        <v>46</v>
      </c>
      <c r="R352" t="s">
        <v>449</v>
      </c>
      <c r="S352">
        <v>5</v>
      </c>
      <c r="T352" t="s">
        <v>379</v>
      </c>
      <c r="U352">
        <v>0.13704525695648184</v>
      </c>
    </row>
    <row r="353" spans="1:21">
      <c r="A353">
        <v>329</v>
      </c>
      <c r="B353" s="1">
        <v>45791</v>
      </c>
      <c r="C353" t="s">
        <v>476</v>
      </c>
      <c r="D353" t="s">
        <v>477</v>
      </c>
      <c r="E353" t="s">
        <v>54</v>
      </c>
      <c r="F353" t="s">
        <v>55</v>
      </c>
      <c r="G353" t="s">
        <v>59</v>
      </c>
      <c r="H353" t="s">
        <v>37</v>
      </c>
      <c r="I353">
        <v>4</v>
      </c>
      <c r="J353">
        <v>10584.91</v>
      </c>
      <c r="K353">
        <v>0.15</v>
      </c>
      <c r="L353">
        <v>35988.69</v>
      </c>
      <c r="M353">
        <v>34162.68</v>
      </c>
      <c r="N353">
        <v>1826.01</v>
      </c>
      <c r="O353" t="s">
        <v>27</v>
      </c>
      <c r="P353" t="s">
        <v>28</v>
      </c>
      <c r="Q353" t="s">
        <v>40</v>
      </c>
      <c r="R353" t="s">
        <v>449</v>
      </c>
      <c r="S353">
        <v>5</v>
      </c>
      <c r="T353" t="s">
        <v>379</v>
      </c>
      <c r="U353">
        <v>5.0738440326669292E-2</v>
      </c>
    </row>
    <row r="354" spans="1:21">
      <c r="A354">
        <v>503</v>
      </c>
      <c r="B354" s="1">
        <v>45791</v>
      </c>
      <c r="C354" t="s">
        <v>478</v>
      </c>
      <c r="D354" t="s">
        <v>261</v>
      </c>
      <c r="E354" t="s">
        <v>97</v>
      </c>
      <c r="F354" t="s">
        <v>148</v>
      </c>
      <c r="G354" t="s">
        <v>145</v>
      </c>
      <c r="H354" t="s">
        <v>70</v>
      </c>
      <c r="I354">
        <v>1</v>
      </c>
      <c r="J354">
        <v>1645.39</v>
      </c>
      <c r="K354">
        <v>0.15</v>
      </c>
      <c r="L354">
        <v>1398.58</v>
      </c>
      <c r="M354">
        <v>1218.73</v>
      </c>
      <c r="N354">
        <v>179.85</v>
      </c>
      <c r="O354" t="s">
        <v>38</v>
      </c>
      <c r="P354" t="s">
        <v>39</v>
      </c>
      <c r="Q354" t="s">
        <v>40</v>
      </c>
      <c r="R354" t="s">
        <v>449</v>
      </c>
      <c r="S354">
        <v>5</v>
      </c>
      <c r="T354" t="s">
        <v>379</v>
      </c>
      <c r="U354">
        <v>0.12859471749917775</v>
      </c>
    </row>
    <row r="355" spans="1:21">
      <c r="A355">
        <v>575</v>
      </c>
      <c r="B355" s="1">
        <v>45792</v>
      </c>
      <c r="C355" t="s">
        <v>479</v>
      </c>
      <c r="D355" t="s">
        <v>107</v>
      </c>
      <c r="E355" t="s">
        <v>76</v>
      </c>
      <c r="F355" t="s">
        <v>81</v>
      </c>
      <c r="G355" t="s">
        <v>44</v>
      </c>
      <c r="H355" t="s">
        <v>26</v>
      </c>
      <c r="I355">
        <v>2</v>
      </c>
      <c r="J355">
        <v>67513</v>
      </c>
      <c r="K355">
        <v>0.15</v>
      </c>
      <c r="L355">
        <v>114772.1</v>
      </c>
      <c r="M355">
        <v>107421.29</v>
      </c>
      <c r="N355">
        <v>7350.81</v>
      </c>
      <c r="O355" t="s">
        <v>38</v>
      </c>
      <c r="P355" t="s">
        <v>39</v>
      </c>
      <c r="Q355" t="s">
        <v>40</v>
      </c>
      <c r="R355" t="s">
        <v>449</v>
      </c>
      <c r="S355">
        <v>5</v>
      </c>
      <c r="T355" t="s">
        <v>379</v>
      </c>
      <c r="U355">
        <v>6.4047011425250558E-2</v>
      </c>
    </row>
    <row r="356" spans="1:21">
      <c r="A356">
        <v>630</v>
      </c>
      <c r="B356" s="1">
        <v>45792</v>
      </c>
      <c r="C356" t="s">
        <v>385</v>
      </c>
      <c r="D356" t="s">
        <v>480</v>
      </c>
      <c r="E356" t="s">
        <v>23</v>
      </c>
      <c r="F356" t="s">
        <v>58</v>
      </c>
      <c r="G356" t="s">
        <v>134</v>
      </c>
      <c r="H356" t="s">
        <v>26</v>
      </c>
      <c r="I356">
        <v>4</v>
      </c>
      <c r="J356">
        <v>29796.240000000002</v>
      </c>
      <c r="K356">
        <v>0.15</v>
      </c>
      <c r="L356">
        <v>101307.22</v>
      </c>
      <c r="M356">
        <v>80405.820000000007</v>
      </c>
      <c r="N356">
        <v>20901.400000000001</v>
      </c>
      <c r="O356" t="s">
        <v>27</v>
      </c>
      <c r="P356" t="s">
        <v>78</v>
      </c>
      <c r="Q356" t="s">
        <v>40</v>
      </c>
      <c r="R356" t="s">
        <v>449</v>
      </c>
      <c r="S356">
        <v>5</v>
      </c>
      <c r="T356" t="s">
        <v>379</v>
      </c>
      <c r="U356">
        <v>0.20631698313308766</v>
      </c>
    </row>
    <row r="357" spans="1:21">
      <c r="A357">
        <v>933</v>
      </c>
      <c r="B357" s="1">
        <v>45792</v>
      </c>
      <c r="C357" t="s">
        <v>481</v>
      </c>
      <c r="D357" t="s">
        <v>214</v>
      </c>
      <c r="E357" t="s">
        <v>76</v>
      </c>
      <c r="F357" t="s">
        <v>77</v>
      </c>
      <c r="G357" t="s">
        <v>44</v>
      </c>
      <c r="H357" t="s">
        <v>26</v>
      </c>
      <c r="I357">
        <v>1</v>
      </c>
      <c r="J357">
        <v>65698.080000000002</v>
      </c>
      <c r="K357">
        <v>0.15</v>
      </c>
      <c r="L357">
        <v>55843.37</v>
      </c>
      <c r="M357">
        <v>45611.74</v>
      </c>
      <c r="N357">
        <v>10231.629999999999</v>
      </c>
      <c r="O357" t="s">
        <v>27</v>
      </c>
      <c r="P357" t="s">
        <v>39</v>
      </c>
      <c r="Q357" t="s">
        <v>29</v>
      </c>
      <c r="R357" t="s">
        <v>449</v>
      </c>
      <c r="S357">
        <v>5</v>
      </c>
      <c r="T357" t="s">
        <v>379</v>
      </c>
      <c r="U357">
        <v>0.18322013875595256</v>
      </c>
    </row>
    <row r="358" spans="1:21">
      <c r="A358">
        <v>860</v>
      </c>
      <c r="B358" s="1">
        <v>45792</v>
      </c>
      <c r="C358" t="s">
        <v>482</v>
      </c>
      <c r="D358" t="s">
        <v>483</v>
      </c>
      <c r="E358" t="s">
        <v>34</v>
      </c>
      <c r="F358" t="s">
        <v>86</v>
      </c>
      <c r="G358" t="s">
        <v>62</v>
      </c>
      <c r="H358" t="s">
        <v>63</v>
      </c>
      <c r="I358">
        <v>3</v>
      </c>
      <c r="J358">
        <v>300.51</v>
      </c>
      <c r="K358">
        <v>0</v>
      </c>
      <c r="L358">
        <v>901.53</v>
      </c>
      <c r="M358">
        <v>743.11</v>
      </c>
      <c r="N358">
        <v>158.41999999999999</v>
      </c>
      <c r="O358" t="s">
        <v>38</v>
      </c>
      <c r="P358" t="s">
        <v>39</v>
      </c>
      <c r="Q358" t="s">
        <v>46</v>
      </c>
      <c r="R358" t="s">
        <v>449</v>
      </c>
      <c r="S358">
        <v>5</v>
      </c>
      <c r="T358" t="s">
        <v>379</v>
      </c>
      <c r="U358">
        <v>0.17572349228533715</v>
      </c>
    </row>
    <row r="359" spans="1:21">
      <c r="A359">
        <v>277</v>
      </c>
      <c r="B359" s="1">
        <v>45792</v>
      </c>
      <c r="C359" t="s">
        <v>438</v>
      </c>
      <c r="D359" t="s">
        <v>484</v>
      </c>
      <c r="E359" t="s">
        <v>54</v>
      </c>
      <c r="F359" t="s">
        <v>127</v>
      </c>
      <c r="G359" t="s">
        <v>62</v>
      </c>
      <c r="H359" t="s">
        <v>63</v>
      </c>
      <c r="I359">
        <v>1</v>
      </c>
      <c r="J359">
        <v>80.430000000000007</v>
      </c>
      <c r="K359">
        <v>0.15</v>
      </c>
      <c r="L359">
        <v>68.37</v>
      </c>
      <c r="M359">
        <v>63.39</v>
      </c>
      <c r="N359">
        <v>4.9800000000000004</v>
      </c>
      <c r="O359" t="s">
        <v>38</v>
      </c>
      <c r="P359" t="s">
        <v>28</v>
      </c>
      <c r="Q359" t="s">
        <v>46</v>
      </c>
      <c r="R359" t="s">
        <v>449</v>
      </c>
      <c r="S359">
        <v>5</v>
      </c>
      <c r="T359" t="s">
        <v>379</v>
      </c>
      <c r="U359">
        <v>7.2838964458095651E-2</v>
      </c>
    </row>
    <row r="360" spans="1:21">
      <c r="A360">
        <v>327</v>
      </c>
      <c r="B360" s="1">
        <v>45794</v>
      </c>
      <c r="C360" t="s">
        <v>485</v>
      </c>
      <c r="D360" t="s">
        <v>294</v>
      </c>
      <c r="E360" t="s">
        <v>34</v>
      </c>
      <c r="F360" t="s">
        <v>86</v>
      </c>
      <c r="G360" t="s">
        <v>66</v>
      </c>
      <c r="H360" t="s">
        <v>51</v>
      </c>
      <c r="I360">
        <v>1</v>
      </c>
      <c r="J360">
        <v>1605.9</v>
      </c>
      <c r="K360">
        <v>0</v>
      </c>
      <c r="L360">
        <v>1605.9</v>
      </c>
      <c r="M360">
        <v>1038.48</v>
      </c>
      <c r="N360">
        <v>567.41999999999996</v>
      </c>
      <c r="O360" t="s">
        <v>38</v>
      </c>
      <c r="P360" t="s">
        <v>28</v>
      </c>
      <c r="Q360" t="s">
        <v>40</v>
      </c>
      <c r="R360" t="s">
        <v>449</v>
      </c>
      <c r="S360">
        <v>5</v>
      </c>
      <c r="T360" t="s">
        <v>379</v>
      </c>
      <c r="U360">
        <v>0.35333457874089291</v>
      </c>
    </row>
    <row r="361" spans="1:21">
      <c r="A361">
        <v>373</v>
      </c>
      <c r="B361" s="1">
        <v>45794</v>
      </c>
      <c r="C361" t="s">
        <v>486</v>
      </c>
      <c r="D361" t="s">
        <v>487</v>
      </c>
      <c r="E361" t="s">
        <v>54</v>
      </c>
      <c r="F361" t="s">
        <v>55</v>
      </c>
      <c r="G361" t="s">
        <v>69</v>
      </c>
      <c r="H361" t="s">
        <v>70</v>
      </c>
      <c r="I361">
        <v>2</v>
      </c>
      <c r="J361">
        <v>935.66</v>
      </c>
      <c r="K361">
        <v>0</v>
      </c>
      <c r="L361">
        <v>1871.32</v>
      </c>
      <c r="M361">
        <v>1575.23</v>
      </c>
      <c r="N361">
        <v>296.08999999999997</v>
      </c>
      <c r="O361" t="s">
        <v>27</v>
      </c>
      <c r="P361" t="s">
        <v>39</v>
      </c>
      <c r="Q361" t="s">
        <v>46</v>
      </c>
      <c r="R361" t="s">
        <v>449</v>
      </c>
      <c r="S361">
        <v>5</v>
      </c>
      <c r="T361" t="s">
        <v>379</v>
      </c>
      <c r="U361">
        <v>0.1582252100121839</v>
      </c>
    </row>
    <row r="362" spans="1:21">
      <c r="A362">
        <v>350</v>
      </c>
      <c r="B362" s="1">
        <v>45795</v>
      </c>
      <c r="C362" t="s">
        <v>239</v>
      </c>
      <c r="D362" t="s">
        <v>488</v>
      </c>
      <c r="E362" t="s">
        <v>54</v>
      </c>
      <c r="F362" t="s">
        <v>55</v>
      </c>
      <c r="G362" t="s">
        <v>50</v>
      </c>
      <c r="H362" t="s">
        <v>51</v>
      </c>
      <c r="I362">
        <v>1</v>
      </c>
      <c r="J362">
        <v>306.42</v>
      </c>
      <c r="K362">
        <v>0.15</v>
      </c>
      <c r="L362">
        <v>260.45999999999998</v>
      </c>
      <c r="M362">
        <v>258.85000000000002</v>
      </c>
      <c r="N362">
        <v>1.61</v>
      </c>
      <c r="O362" t="s">
        <v>38</v>
      </c>
      <c r="P362" t="s">
        <v>71</v>
      </c>
      <c r="Q362" t="s">
        <v>46</v>
      </c>
      <c r="R362" t="s">
        <v>449</v>
      </c>
      <c r="S362">
        <v>5</v>
      </c>
      <c r="T362" t="s">
        <v>379</v>
      </c>
      <c r="U362">
        <v>6.1813714197957465E-3</v>
      </c>
    </row>
    <row r="363" spans="1:21">
      <c r="A363">
        <v>60</v>
      </c>
      <c r="B363" s="1">
        <v>45795</v>
      </c>
      <c r="C363" t="s">
        <v>82</v>
      </c>
      <c r="D363" t="s">
        <v>124</v>
      </c>
      <c r="E363" t="s">
        <v>54</v>
      </c>
      <c r="F363" t="s">
        <v>108</v>
      </c>
      <c r="G363" t="s">
        <v>59</v>
      </c>
      <c r="H363" t="s">
        <v>37</v>
      </c>
      <c r="I363">
        <v>1</v>
      </c>
      <c r="J363">
        <v>11806.83</v>
      </c>
      <c r="K363">
        <v>0.15</v>
      </c>
      <c r="L363">
        <v>10035.81</v>
      </c>
      <c r="M363">
        <v>9765.2199999999993</v>
      </c>
      <c r="N363">
        <v>270.58999999999997</v>
      </c>
      <c r="O363" t="s">
        <v>27</v>
      </c>
      <c r="P363" t="s">
        <v>78</v>
      </c>
      <c r="Q363" t="s">
        <v>29</v>
      </c>
      <c r="R363" t="s">
        <v>449</v>
      </c>
      <c r="S363">
        <v>5</v>
      </c>
      <c r="T363" t="s">
        <v>379</v>
      </c>
      <c r="U363">
        <v>2.6962447475589912E-2</v>
      </c>
    </row>
    <row r="364" spans="1:21">
      <c r="A364">
        <v>828</v>
      </c>
      <c r="B364" s="1">
        <v>45795</v>
      </c>
      <c r="C364" t="s">
        <v>366</v>
      </c>
      <c r="D364" t="s">
        <v>212</v>
      </c>
      <c r="E364" t="s">
        <v>76</v>
      </c>
      <c r="F364" t="s">
        <v>77</v>
      </c>
      <c r="G364" t="s">
        <v>69</v>
      </c>
      <c r="H364" t="s">
        <v>70</v>
      </c>
      <c r="I364">
        <v>2</v>
      </c>
      <c r="J364">
        <v>1638.56</v>
      </c>
      <c r="K364">
        <v>0</v>
      </c>
      <c r="L364">
        <v>3277.12</v>
      </c>
      <c r="M364">
        <v>2620.54</v>
      </c>
      <c r="N364">
        <v>656.58</v>
      </c>
      <c r="O364" t="s">
        <v>27</v>
      </c>
      <c r="P364" t="s">
        <v>71</v>
      </c>
      <c r="Q364" t="s">
        <v>46</v>
      </c>
      <c r="R364" t="s">
        <v>449</v>
      </c>
      <c r="S364">
        <v>5</v>
      </c>
      <c r="T364" t="s">
        <v>379</v>
      </c>
      <c r="U364">
        <v>0.20035274875500442</v>
      </c>
    </row>
    <row r="365" spans="1:21">
      <c r="A365">
        <v>816</v>
      </c>
      <c r="B365" s="1">
        <v>45795</v>
      </c>
      <c r="C365" t="s">
        <v>254</v>
      </c>
      <c r="D365" t="s">
        <v>489</v>
      </c>
      <c r="E365" t="s">
        <v>54</v>
      </c>
      <c r="F365" t="s">
        <v>55</v>
      </c>
      <c r="G365" t="s">
        <v>62</v>
      </c>
      <c r="H365" t="s">
        <v>63</v>
      </c>
      <c r="I365">
        <v>4</v>
      </c>
      <c r="J365">
        <v>296.66000000000003</v>
      </c>
      <c r="K365">
        <v>0.02</v>
      </c>
      <c r="L365">
        <v>1162.9100000000001</v>
      </c>
      <c r="M365">
        <v>983.54</v>
      </c>
      <c r="N365">
        <v>179.37</v>
      </c>
      <c r="O365" t="s">
        <v>27</v>
      </c>
      <c r="P365" t="s">
        <v>39</v>
      </c>
      <c r="Q365" t="s">
        <v>40</v>
      </c>
      <c r="R365" t="s">
        <v>449</v>
      </c>
      <c r="S365">
        <v>5</v>
      </c>
      <c r="T365" t="s">
        <v>379</v>
      </c>
      <c r="U365">
        <v>0.15424237473235244</v>
      </c>
    </row>
    <row r="366" spans="1:21">
      <c r="A366">
        <v>384</v>
      </c>
      <c r="B366" s="1">
        <v>45795</v>
      </c>
      <c r="C366" t="s">
        <v>490</v>
      </c>
      <c r="D366" t="s">
        <v>491</v>
      </c>
      <c r="E366" t="s">
        <v>34</v>
      </c>
      <c r="F366" t="s">
        <v>86</v>
      </c>
      <c r="G366" t="s">
        <v>62</v>
      </c>
      <c r="H366" t="s">
        <v>63</v>
      </c>
      <c r="I366">
        <v>4</v>
      </c>
      <c r="J366">
        <v>359.37</v>
      </c>
      <c r="K366">
        <v>0.05</v>
      </c>
      <c r="L366">
        <v>1365.61</v>
      </c>
      <c r="M366">
        <v>1044.79</v>
      </c>
      <c r="N366">
        <v>320.82</v>
      </c>
      <c r="O366" t="s">
        <v>38</v>
      </c>
      <c r="P366" t="s">
        <v>39</v>
      </c>
      <c r="Q366" t="s">
        <v>29</v>
      </c>
      <c r="R366" t="s">
        <v>449</v>
      </c>
      <c r="S366">
        <v>5</v>
      </c>
      <c r="T366" t="s">
        <v>379</v>
      </c>
      <c r="U366">
        <v>0.2349279809023074</v>
      </c>
    </row>
    <row r="367" spans="1:21">
      <c r="A367">
        <v>221</v>
      </c>
      <c r="B367" s="1">
        <v>45796</v>
      </c>
      <c r="C367" t="s">
        <v>138</v>
      </c>
      <c r="D367" t="s">
        <v>236</v>
      </c>
      <c r="E367" t="s">
        <v>23</v>
      </c>
      <c r="F367" t="s">
        <v>58</v>
      </c>
      <c r="G367" t="s">
        <v>59</v>
      </c>
      <c r="H367" t="s">
        <v>37</v>
      </c>
      <c r="I367">
        <v>3</v>
      </c>
      <c r="J367">
        <v>13072.07</v>
      </c>
      <c r="K367">
        <v>0</v>
      </c>
      <c r="L367">
        <v>39216.21</v>
      </c>
      <c r="M367">
        <v>32893.629999999997</v>
      </c>
      <c r="N367">
        <v>6322.58</v>
      </c>
      <c r="O367" t="s">
        <v>27</v>
      </c>
      <c r="P367" t="s">
        <v>71</v>
      </c>
      <c r="Q367" t="s">
        <v>40</v>
      </c>
      <c r="R367" t="s">
        <v>449</v>
      </c>
      <c r="S367">
        <v>5</v>
      </c>
      <c r="T367" t="s">
        <v>379</v>
      </c>
      <c r="U367">
        <v>0.16122363685832977</v>
      </c>
    </row>
    <row r="368" spans="1:21">
      <c r="A368">
        <v>666</v>
      </c>
      <c r="B368" s="1">
        <v>45796</v>
      </c>
      <c r="C368" t="s">
        <v>492</v>
      </c>
      <c r="D368" t="s">
        <v>418</v>
      </c>
      <c r="E368" t="s">
        <v>97</v>
      </c>
      <c r="F368" t="s">
        <v>98</v>
      </c>
      <c r="G368" t="s">
        <v>44</v>
      </c>
      <c r="H368" t="s">
        <v>26</v>
      </c>
      <c r="I368">
        <v>1</v>
      </c>
      <c r="J368">
        <v>66182.73</v>
      </c>
      <c r="K368">
        <v>0.02</v>
      </c>
      <c r="L368">
        <v>64859.08</v>
      </c>
      <c r="M368">
        <v>53828.84</v>
      </c>
      <c r="N368">
        <v>11030.24</v>
      </c>
      <c r="O368" t="s">
        <v>27</v>
      </c>
      <c r="P368" t="s">
        <v>28</v>
      </c>
      <c r="Q368" t="s">
        <v>40</v>
      </c>
      <c r="R368" t="s">
        <v>449</v>
      </c>
      <c r="S368">
        <v>5</v>
      </c>
      <c r="T368" t="s">
        <v>379</v>
      </c>
      <c r="U368">
        <v>0.17006470027018575</v>
      </c>
    </row>
    <row r="369" spans="1:21">
      <c r="A369">
        <v>605</v>
      </c>
      <c r="B369" s="1">
        <v>45796</v>
      </c>
      <c r="C369" t="s">
        <v>376</v>
      </c>
      <c r="D369" t="s">
        <v>314</v>
      </c>
      <c r="E369" t="s">
        <v>54</v>
      </c>
      <c r="F369" t="s">
        <v>127</v>
      </c>
      <c r="G369" t="s">
        <v>25</v>
      </c>
      <c r="H369" t="s">
        <v>26</v>
      </c>
      <c r="I369">
        <v>2</v>
      </c>
      <c r="J369">
        <v>11294.64</v>
      </c>
      <c r="K369">
        <v>0.05</v>
      </c>
      <c r="L369">
        <v>21459.82</v>
      </c>
      <c r="M369">
        <v>17137.59</v>
      </c>
      <c r="N369">
        <v>4322.2299999999996</v>
      </c>
      <c r="O369" t="s">
        <v>38</v>
      </c>
      <c r="P369" t="s">
        <v>78</v>
      </c>
      <c r="Q369" t="s">
        <v>46</v>
      </c>
      <c r="R369" t="s">
        <v>449</v>
      </c>
      <c r="S369">
        <v>5</v>
      </c>
      <c r="T369" t="s">
        <v>379</v>
      </c>
      <c r="U369">
        <v>0.20141035665723198</v>
      </c>
    </row>
    <row r="370" spans="1:21">
      <c r="A370">
        <v>376</v>
      </c>
      <c r="B370" s="1">
        <v>45796</v>
      </c>
      <c r="C370" t="s">
        <v>213</v>
      </c>
      <c r="D370" t="s">
        <v>493</v>
      </c>
      <c r="E370" t="s">
        <v>76</v>
      </c>
      <c r="F370" t="s">
        <v>113</v>
      </c>
      <c r="G370" t="s">
        <v>105</v>
      </c>
      <c r="H370" t="s">
        <v>26</v>
      </c>
      <c r="I370">
        <v>1</v>
      </c>
      <c r="J370">
        <v>4768.2</v>
      </c>
      <c r="K370">
        <v>0</v>
      </c>
      <c r="L370">
        <v>4768.2</v>
      </c>
      <c r="M370">
        <v>3246.91</v>
      </c>
      <c r="N370">
        <v>1521.29</v>
      </c>
      <c r="O370" t="s">
        <v>27</v>
      </c>
      <c r="P370" t="s">
        <v>39</v>
      </c>
      <c r="Q370" t="s">
        <v>46</v>
      </c>
      <c r="R370" t="s">
        <v>449</v>
      </c>
      <c r="S370">
        <v>5</v>
      </c>
      <c r="T370" t="s">
        <v>379</v>
      </c>
      <c r="U370">
        <v>0.3190491170672371</v>
      </c>
    </row>
    <row r="371" spans="1:21">
      <c r="A371">
        <v>805</v>
      </c>
      <c r="B371" s="1">
        <v>45796</v>
      </c>
      <c r="C371" t="s">
        <v>494</v>
      </c>
      <c r="D371" t="s">
        <v>250</v>
      </c>
      <c r="E371" t="s">
        <v>76</v>
      </c>
      <c r="F371" t="s">
        <v>113</v>
      </c>
      <c r="G371" t="s">
        <v>59</v>
      </c>
      <c r="H371" t="s">
        <v>37</v>
      </c>
      <c r="I371">
        <v>4</v>
      </c>
      <c r="J371">
        <v>10132.08</v>
      </c>
      <c r="K371">
        <v>0.05</v>
      </c>
      <c r="L371">
        <v>38501.9</v>
      </c>
      <c r="M371">
        <v>32178.99</v>
      </c>
      <c r="N371">
        <v>6322.91</v>
      </c>
      <c r="O371" t="s">
        <v>38</v>
      </c>
      <c r="P371" t="s">
        <v>28</v>
      </c>
      <c r="Q371" t="s">
        <v>29</v>
      </c>
      <c r="R371" t="s">
        <v>449</v>
      </c>
      <c r="S371">
        <v>5</v>
      </c>
      <c r="T371" t="s">
        <v>379</v>
      </c>
      <c r="U371">
        <v>0.16422332404374848</v>
      </c>
    </row>
    <row r="372" spans="1:21">
      <c r="A372">
        <v>556</v>
      </c>
      <c r="B372" s="1">
        <v>45798</v>
      </c>
      <c r="C372" t="s">
        <v>191</v>
      </c>
      <c r="D372" t="s">
        <v>495</v>
      </c>
      <c r="E372" t="s">
        <v>23</v>
      </c>
      <c r="F372" t="s">
        <v>43</v>
      </c>
      <c r="G372" t="s">
        <v>36</v>
      </c>
      <c r="H372" t="s">
        <v>37</v>
      </c>
      <c r="I372">
        <v>2</v>
      </c>
      <c r="J372">
        <v>10071.11</v>
      </c>
      <c r="K372">
        <v>0.1</v>
      </c>
      <c r="L372">
        <v>18128</v>
      </c>
      <c r="M372">
        <v>16398.12</v>
      </c>
      <c r="N372">
        <v>1729.88</v>
      </c>
      <c r="O372" t="s">
        <v>38</v>
      </c>
      <c r="P372" t="s">
        <v>78</v>
      </c>
      <c r="Q372" t="s">
        <v>29</v>
      </c>
      <c r="R372" t="s">
        <v>449</v>
      </c>
      <c r="S372">
        <v>5</v>
      </c>
      <c r="T372" t="s">
        <v>379</v>
      </c>
      <c r="U372">
        <v>9.5425860547219771E-2</v>
      </c>
    </row>
    <row r="373" spans="1:21">
      <c r="A373">
        <v>464</v>
      </c>
      <c r="B373" s="1">
        <v>45798</v>
      </c>
      <c r="C373" t="s">
        <v>496</v>
      </c>
      <c r="D373" t="s">
        <v>497</v>
      </c>
      <c r="E373" t="s">
        <v>76</v>
      </c>
      <c r="F373" t="s">
        <v>81</v>
      </c>
      <c r="G373" t="s">
        <v>105</v>
      </c>
      <c r="H373" t="s">
        <v>26</v>
      </c>
      <c r="I373">
        <v>1</v>
      </c>
      <c r="J373">
        <v>7341.92</v>
      </c>
      <c r="K373">
        <v>0.15</v>
      </c>
      <c r="L373">
        <v>6240.63</v>
      </c>
      <c r="M373">
        <v>4951.82</v>
      </c>
      <c r="N373">
        <v>1288.81</v>
      </c>
      <c r="O373" t="s">
        <v>27</v>
      </c>
      <c r="P373" t="s">
        <v>78</v>
      </c>
      <c r="Q373" t="s">
        <v>29</v>
      </c>
      <c r="R373" t="s">
        <v>449</v>
      </c>
      <c r="S373">
        <v>5</v>
      </c>
      <c r="T373" t="s">
        <v>379</v>
      </c>
      <c r="U373">
        <v>0.20651921360503667</v>
      </c>
    </row>
    <row r="374" spans="1:21">
      <c r="A374">
        <v>648</v>
      </c>
      <c r="B374" s="1">
        <v>45798</v>
      </c>
      <c r="C374" t="s">
        <v>79</v>
      </c>
      <c r="D374" t="s">
        <v>110</v>
      </c>
      <c r="E374" t="s">
        <v>34</v>
      </c>
      <c r="F374" t="s">
        <v>86</v>
      </c>
      <c r="G374" t="s">
        <v>59</v>
      </c>
      <c r="H374" t="s">
        <v>37</v>
      </c>
      <c r="I374">
        <v>1</v>
      </c>
      <c r="J374">
        <v>7717.76</v>
      </c>
      <c r="K374">
        <v>0.1</v>
      </c>
      <c r="L374">
        <v>6945.98</v>
      </c>
      <c r="M374">
        <v>5267.09</v>
      </c>
      <c r="N374">
        <v>1678.89</v>
      </c>
      <c r="O374" t="s">
        <v>27</v>
      </c>
      <c r="P374" t="s">
        <v>78</v>
      </c>
      <c r="Q374" t="s">
        <v>46</v>
      </c>
      <c r="R374" t="s">
        <v>449</v>
      </c>
      <c r="S374">
        <v>5</v>
      </c>
      <c r="T374" t="s">
        <v>379</v>
      </c>
      <c r="U374">
        <v>0.24170671381144204</v>
      </c>
    </row>
    <row r="375" spans="1:21">
      <c r="A375">
        <v>759</v>
      </c>
      <c r="B375" s="1">
        <v>45799</v>
      </c>
      <c r="C375" t="s">
        <v>74</v>
      </c>
      <c r="D375" t="s">
        <v>103</v>
      </c>
      <c r="E375" t="s">
        <v>54</v>
      </c>
      <c r="F375" t="s">
        <v>127</v>
      </c>
      <c r="G375" t="s">
        <v>145</v>
      </c>
      <c r="H375" t="s">
        <v>70</v>
      </c>
      <c r="I375">
        <v>1</v>
      </c>
      <c r="J375">
        <v>937.06</v>
      </c>
      <c r="K375">
        <v>0</v>
      </c>
      <c r="L375">
        <v>937.06</v>
      </c>
      <c r="M375">
        <v>803.61</v>
      </c>
      <c r="N375">
        <v>133.44999999999999</v>
      </c>
      <c r="O375" t="s">
        <v>38</v>
      </c>
      <c r="P375" t="s">
        <v>71</v>
      </c>
      <c r="Q375" t="s">
        <v>40</v>
      </c>
      <c r="R375" t="s">
        <v>449</v>
      </c>
      <c r="S375">
        <v>5</v>
      </c>
      <c r="T375" t="s">
        <v>379</v>
      </c>
      <c r="U375">
        <v>0.1424135060721832</v>
      </c>
    </row>
    <row r="376" spans="1:21">
      <c r="A376">
        <v>528</v>
      </c>
      <c r="B376" s="1">
        <v>45800</v>
      </c>
      <c r="C376" t="s">
        <v>368</v>
      </c>
      <c r="D376" t="s">
        <v>94</v>
      </c>
      <c r="E376" t="s">
        <v>97</v>
      </c>
      <c r="F376" t="s">
        <v>104</v>
      </c>
      <c r="G376" t="s">
        <v>36</v>
      </c>
      <c r="H376" t="s">
        <v>37</v>
      </c>
      <c r="I376">
        <v>2</v>
      </c>
      <c r="J376">
        <v>11529.61</v>
      </c>
      <c r="K376">
        <v>0.05</v>
      </c>
      <c r="L376">
        <v>21906.26</v>
      </c>
      <c r="M376">
        <v>15524.59</v>
      </c>
      <c r="N376">
        <v>6381.67</v>
      </c>
      <c r="O376" t="s">
        <v>38</v>
      </c>
      <c r="P376" t="s">
        <v>39</v>
      </c>
      <c r="Q376" t="s">
        <v>40</v>
      </c>
      <c r="R376" t="s">
        <v>449</v>
      </c>
      <c r="S376">
        <v>5</v>
      </c>
      <c r="T376" t="s">
        <v>379</v>
      </c>
      <c r="U376">
        <v>0.29131718513338201</v>
      </c>
    </row>
    <row r="377" spans="1:21">
      <c r="A377">
        <v>171</v>
      </c>
      <c r="B377" s="1">
        <v>45800</v>
      </c>
      <c r="C377" t="s">
        <v>498</v>
      </c>
      <c r="D377" t="s">
        <v>446</v>
      </c>
      <c r="E377" t="s">
        <v>23</v>
      </c>
      <c r="F377" t="s">
        <v>24</v>
      </c>
      <c r="G377" t="s">
        <v>59</v>
      </c>
      <c r="H377" t="s">
        <v>37</v>
      </c>
      <c r="I377">
        <v>1</v>
      </c>
      <c r="J377">
        <v>17251.03</v>
      </c>
      <c r="K377">
        <v>0.05</v>
      </c>
      <c r="L377">
        <v>16388.48</v>
      </c>
      <c r="M377">
        <v>14222.3</v>
      </c>
      <c r="N377">
        <v>2166.1799999999998</v>
      </c>
      <c r="O377" t="s">
        <v>27</v>
      </c>
      <c r="P377" t="s">
        <v>78</v>
      </c>
      <c r="Q377" t="s">
        <v>46</v>
      </c>
      <c r="R377" t="s">
        <v>449</v>
      </c>
      <c r="S377">
        <v>5</v>
      </c>
      <c r="T377" t="s">
        <v>379</v>
      </c>
      <c r="U377">
        <v>0.13217699261920568</v>
      </c>
    </row>
    <row r="378" spans="1:21">
      <c r="A378">
        <v>143</v>
      </c>
      <c r="B378" s="1">
        <v>45802</v>
      </c>
      <c r="C378" t="s">
        <v>256</v>
      </c>
      <c r="D378" t="s">
        <v>499</v>
      </c>
      <c r="E378" t="s">
        <v>54</v>
      </c>
      <c r="F378" t="s">
        <v>127</v>
      </c>
      <c r="G378" t="s">
        <v>36</v>
      </c>
      <c r="H378" t="s">
        <v>37</v>
      </c>
      <c r="I378">
        <v>2</v>
      </c>
      <c r="J378">
        <v>10952.98</v>
      </c>
      <c r="K378">
        <v>0.02</v>
      </c>
      <c r="L378">
        <v>21467.84</v>
      </c>
      <c r="M378">
        <v>14124.26</v>
      </c>
      <c r="N378">
        <v>7343.58</v>
      </c>
      <c r="O378" t="s">
        <v>38</v>
      </c>
      <c r="P378" t="s">
        <v>71</v>
      </c>
      <c r="Q378" t="s">
        <v>29</v>
      </c>
      <c r="R378" t="s">
        <v>449</v>
      </c>
      <c r="S378">
        <v>5</v>
      </c>
      <c r="T378" t="s">
        <v>379</v>
      </c>
      <c r="U378">
        <v>0.34207353883762875</v>
      </c>
    </row>
    <row r="379" spans="1:21">
      <c r="A379">
        <v>667</v>
      </c>
      <c r="B379" s="1">
        <v>45802</v>
      </c>
      <c r="C379" t="s">
        <v>329</v>
      </c>
      <c r="D379" t="s">
        <v>264</v>
      </c>
      <c r="E379" t="s">
        <v>23</v>
      </c>
      <c r="F379" t="s">
        <v>58</v>
      </c>
      <c r="G379" t="s">
        <v>59</v>
      </c>
      <c r="H379" t="s">
        <v>37</v>
      </c>
      <c r="I379">
        <v>2</v>
      </c>
      <c r="J379">
        <v>5020.82</v>
      </c>
      <c r="K379">
        <v>0.15</v>
      </c>
      <c r="L379">
        <v>8535.39</v>
      </c>
      <c r="M379">
        <v>8527.0300000000007</v>
      </c>
      <c r="N379">
        <v>8.36</v>
      </c>
      <c r="O379" t="s">
        <v>27</v>
      </c>
      <c r="P379" t="s">
        <v>71</v>
      </c>
      <c r="Q379" t="s">
        <v>40</v>
      </c>
      <c r="R379" t="s">
        <v>449</v>
      </c>
      <c r="S379">
        <v>5</v>
      </c>
      <c r="T379" t="s">
        <v>379</v>
      </c>
      <c r="U379">
        <v>9.794514368997784E-4</v>
      </c>
    </row>
    <row r="380" spans="1:21">
      <c r="A380">
        <v>775</v>
      </c>
      <c r="B380" s="1">
        <v>45802</v>
      </c>
      <c r="C380" t="s">
        <v>244</v>
      </c>
      <c r="D380" t="s">
        <v>500</v>
      </c>
      <c r="E380" t="s">
        <v>97</v>
      </c>
      <c r="F380" t="s">
        <v>148</v>
      </c>
      <c r="G380" t="s">
        <v>145</v>
      </c>
      <c r="H380" t="s">
        <v>70</v>
      </c>
      <c r="I380">
        <v>2</v>
      </c>
      <c r="J380">
        <v>916.97</v>
      </c>
      <c r="K380">
        <v>0.15</v>
      </c>
      <c r="L380">
        <v>1558.85</v>
      </c>
      <c r="M380">
        <v>1289.8800000000001</v>
      </c>
      <c r="N380">
        <v>268.97000000000003</v>
      </c>
      <c r="O380" t="s">
        <v>38</v>
      </c>
      <c r="P380" t="s">
        <v>28</v>
      </c>
      <c r="Q380" t="s">
        <v>29</v>
      </c>
      <c r="R380" t="s">
        <v>449</v>
      </c>
      <c r="S380">
        <v>5</v>
      </c>
      <c r="T380" t="s">
        <v>379</v>
      </c>
      <c r="U380">
        <v>0.17254386246271292</v>
      </c>
    </row>
    <row r="381" spans="1:21">
      <c r="A381">
        <v>743</v>
      </c>
      <c r="B381" s="1">
        <v>45802</v>
      </c>
      <c r="C381" t="s">
        <v>156</v>
      </c>
      <c r="D381" t="s">
        <v>124</v>
      </c>
      <c r="E381" t="s">
        <v>23</v>
      </c>
      <c r="F381" t="s">
        <v>58</v>
      </c>
      <c r="G381" t="s">
        <v>105</v>
      </c>
      <c r="H381" t="s">
        <v>26</v>
      </c>
      <c r="I381">
        <v>2</v>
      </c>
      <c r="J381">
        <v>4514.78</v>
      </c>
      <c r="K381">
        <v>0.02</v>
      </c>
      <c r="L381">
        <v>8848.9699999999993</v>
      </c>
      <c r="M381">
        <v>7099.41</v>
      </c>
      <c r="N381">
        <v>1749.56</v>
      </c>
      <c r="O381" t="s">
        <v>38</v>
      </c>
      <c r="P381" t="s">
        <v>78</v>
      </c>
      <c r="Q381" t="s">
        <v>40</v>
      </c>
      <c r="R381" t="s">
        <v>449</v>
      </c>
      <c r="S381">
        <v>5</v>
      </c>
      <c r="T381" t="s">
        <v>379</v>
      </c>
      <c r="U381">
        <v>0.19771340619303718</v>
      </c>
    </row>
    <row r="382" spans="1:21">
      <c r="A382">
        <v>56</v>
      </c>
      <c r="B382" s="1">
        <v>45802</v>
      </c>
      <c r="C382" t="s">
        <v>146</v>
      </c>
      <c r="D382" t="s">
        <v>274</v>
      </c>
      <c r="E382" t="s">
        <v>23</v>
      </c>
      <c r="F382" t="s">
        <v>58</v>
      </c>
      <c r="G382" t="s">
        <v>59</v>
      </c>
      <c r="H382" t="s">
        <v>37</v>
      </c>
      <c r="I382">
        <v>2</v>
      </c>
      <c r="J382">
        <v>14996.84</v>
      </c>
      <c r="K382">
        <v>0.02</v>
      </c>
      <c r="L382">
        <v>29393.81</v>
      </c>
      <c r="M382">
        <v>25221.94</v>
      </c>
      <c r="N382">
        <v>4171.87</v>
      </c>
      <c r="O382" t="s">
        <v>38</v>
      </c>
      <c r="P382" t="s">
        <v>28</v>
      </c>
      <c r="Q382" t="s">
        <v>46</v>
      </c>
      <c r="R382" t="s">
        <v>449</v>
      </c>
      <c r="S382">
        <v>5</v>
      </c>
      <c r="T382" t="s">
        <v>379</v>
      </c>
      <c r="U382">
        <v>0.14193022272376393</v>
      </c>
    </row>
    <row r="383" spans="1:21">
      <c r="A383">
        <v>97</v>
      </c>
      <c r="B383" s="1">
        <v>45803</v>
      </c>
      <c r="C383" t="s">
        <v>417</v>
      </c>
      <c r="D383" t="s">
        <v>255</v>
      </c>
      <c r="E383" t="s">
        <v>54</v>
      </c>
      <c r="F383" t="s">
        <v>108</v>
      </c>
      <c r="G383" t="s">
        <v>66</v>
      </c>
      <c r="H383" t="s">
        <v>51</v>
      </c>
      <c r="I383">
        <v>1</v>
      </c>
      <c r="J383">
        <v>3241.49</v>
      </c>
      <c r="K383">
        <v>0.15</v>
      </c>
      <c r="L383">
        <v>2755.27</v>
      </c>
      <c r="M383">
        <v>2025.22</v>
      </c>
      <c r="N383">
        <v>730.05</v>
      </c>
      <c r="O383" t="s">
        <v>27</v>
      </c>
      <c r="P383" t="s">
        <v>28</v>
      </c>
      <c r="Q383" t="s">
        <v>40</v>
      </c>
      <c r="R383" t="s">
        <v>449</v>
      </c>
      <c r="S383">
        <v>5</v>
      </c>
      <c r="T383" t="s">
        <v>379</v>
      </c>
      <c r="U383">
        <v>0.26496495806218628</v>
      </c>
    </row>
    <row r="384" spans="1:21">
      <c r="A384">
        <v>940</v>
      </c>
      <c r="B384" s="1">
        <v>45803</v>
      </c>
      <c r="C384" t="s">
        <v>501</v>
      </c>
      <c r="D384" t="s">
        <v>212</v>
      </c>
      <c r="E384" t="s">
        <v>76</v>
      </c>
      <c r="F384" t="s">
        <v>77</v>
      </c>
      <c r="G384" t="s">
        <v>145</v>
      </c>
      <c r="H384" t="s">
        <v>70</v>
      </c>
      <c r="I384">
        <v>3</v>
      </c>
      <c r="J384">
        <v>1687.68</v>
      </c>
      <c r="K384">
        <v>0.1</v>
      </c>
      <c r="L384">
        <v>4556.74</v>
      </c>
      <c r="M384">
        <v>3787.44</v>
      </c>
      <c r="N384">
        <v>769.3</v>
      </c>
      <c r="O384" t="s">
        <v>27</v>
      </c>
      <c r="P384" t="s">
        <v>71</v>
      </c>
      <c r="Q384" t="s">
        <v>29</v>
      </c>
      <c r="R384" t="s">
        <v>449</v>
      </c>
      <c r="S384">
        <v>5</v>
      </c>
      <c r="T384" t="s">
        <v>379</v>
      </c>
      <c r="U384">
        <v>0.16882683672976734</v>
      </c>
    </row>
    <row r="385" spans="1:21">
      <c r="A385">
        <v>252</v>
      </c>
      <c r="B385" s="1">
        <v>45804</v>
      </c>
      <c r="C385" t="s">
        <v>502</v>
      </c>
      <c r="D385" t="s">
        <v>347</v>
      </c>
      <c r="E385" t="s">
        <v>76</v>
      </c>
      <c r="F385" t="s">
        <v>81</v>
      </c>
      <c r="G385" t="s">
        <v>69</v>
      </c>
      <c r="H385" t="s">
        <v>70</v>
      </c>
      <c r="I385">
        <v>2</v>
      </c>
      <c r="J385">
        <v>1199.56</v>
      </c>
      <c r="K385">
        <v>0</v>
      </c>
      <c r="L385">
        <v>2399.12</v>
      </c>
      <c r="M385">
        <v>1930.88</v>
      </c>
      <c r="N385">
        <v>468.24</v>
      </c>
      <c r="O385" t="s">
        <v>38</v>
      </c>
      <c r="P385" t="s">
        <v>45</v>
      </c>
      <c r="Q385" t="s">
        <v>46</v>
      </c>
      <c r="R385" t="s">
        <v>449</v>
      </c>
      <c r="S385">
        <v>5</v>
      </c>
      <c r="T385" t="s">
        <v>379</v>
      </c>
      <c r="U385">
        <v>0.19517156290639903</v>
      </c>
    </row>
    <row r="386" spans="1:21">
      <c r="A386">
        <v>994</v>
      </c>
      <c r="B386" s="1">
        <v>45804</v>
      </c>
      <c r="C386" t="s">
        <v>67</v>
      </c>
      <c r="D386" t="s">
        <v>182</v>
      </c>
      <c r="E386" t="s">
        <v>23</v>
      </c>
      <c r="F386" t="s">
        <v>24</v>
      </c>
      <c r="G386" t="s">
        <v>44</v>
      </c>
      <c r="H386" t="s">
        <v>26</v>
      </c>
      <c r="I386">
        <v>1</v>
      </c>
      <c r="J386">
        <v>61776.02</v>
      </c>
      <c r="K386">
        <v>0.15</v>
      </c>
      <c r="L386">
        <v>52509.62</v>
      </c>
      <c r="M386">
        <v>45069.19</v>
      </c>
      <c r="N386">
        <v>7440.43</v>
      </c>
      <c r="O386" t="s">
        <v>27</v>
      </c>
      <c r="P386" t="s">
        <v>78</v>
      </c>
      <c r="Q386" t="s">
        <v>29</v>
      </c>
      <c r="R386" t="s">
        <v>449</v>
      </c>
      <c r="S386">
        <v>5</v>
      </c>
      <c r="T386" t="s">
        <v>379</v>
      </c>
      <c r="U386">
        <v>0.14169651199151698</v>
      </c>
    </row>
    <row r="387" spans="1:21">
      <c r="A387">
        <v>18</v>
      </c>
      <c r="B387" s="1">
        <v>45804</v>
      </c>
      <c r="C387" t="s">
        <v>478</v>
      </c>
      <c r="D387" t="s">
        <v>392</v>
      </c>
      <c r="E387" t="s">
        <v>76</v>
      </c>
      <c r="F387" t="s">
        <v>81</v>
      </c>
      <c r="G387" t="s">
        <v>99</v>
      </c>
      <c r="H387" t="s">
        <v>26</v>
      </c>
      <c r="I387">
        <v>2</v>
      </c>
      <c r="J387">
        <v>15845.14</v>
      </c>
      <c r="K387">
        <v>0.05</v>
      </c>
      <c r="L387">
        <v>30105.77</v>
      </c>
      <c r="M387">
        <v>25507.47</v>
      </c>
      <c r="N387">
        <v>4598.3</v>
      </c>
      <c r="O387" t="s">
        <v>27</v>
      </c>
      <c r="P387" t="s">
        <v>28</v>
      </c>
      <c r="Q387" t="s">
        <v>29</v>
      </c>
      <c r="R387" t="s">
        <v>449</v>
      </c>
      <c r="S387">
        <v>5</v>
      </c>
      <c r="T387" t="s">
        <v>379</v>
      </c>
      <c r="U387">
        <v>0.15273816281729383</v>
      </c>
    </row>
    <row r="388" spans="1:21">
      <c r="A388">
        <v>718</v>
      </c>
      <c r="B388" s="1">
        <v>45804</v>
      </c>
      <c r="C388" t="s">
        <v>140</v>
      </c>
      <c r="D388" t="s">
        <v>167</v>
      </c>
      <c r="E388" t="s">
        <v>97</v>
      </c>
      <c r="F388" t="s">
        <v>98</v>
      </c>
      <c r="G388" t="s">
        <v>25</v>
      </c>
      <c r="H388" t="s">
        <v>26</v>
      </c>
      <c r="I388">
        <v>2</v>
      </c>
      <c r="J388">
        <v>13161.12</v>
      </c>
      <c r="K388">
        <v>0.15</v>
      </c>
      <c r="L388">
        <v>22373.9</v>
      </c>
      <c r="M388">
        <v>18391.259999999998</v>
      </c>
      <c r="N388">
        <v>3982.64</v>
      </c>
      <c r="O388" t="s">
        <v>27</v>
      </c>
      <c r="P388" t="s">
        <v>45</v>
      </c>
      <c r="Q388" t="s">
        <v>29</v>
      </c>
      <c r="R388" t="s">
        <v>449</v>
      </c>
      <c r="S388">
        <v>5</v>
      </c>
      <c r="T388" t="s">
        <v>379</v>
      </c>
      <c r="U388">
        <v>0.17800383482539922</v>
      </c>
    </row>
    <row r="389" spans="1:21">
      <c r="A389">
        <v>312</v>
      </c>
      <c r="B389" s="1">
        <v>45805</v>
      </c>
      <c r="C389" t="s">
        <v>476</v>
      </c>
      <c r="D389" t="s">
        <v>202</v>
      </c>
      <c r="E389" t="s">
        <v>34</v>
      </c>
      <c r="F389" t="s">
        <v>35</v>
      </c>
      <c r="G389" t="s">
        <v>59</v>
      </c>
      <c r="H389" t="s">
        <v>37</v>
      </c>
      <c r="I389">
        <v>2</v>
      </c>
      <c r="J389">
        <v>6000.73</v>
      </c>
      <c r="K389">
        <v>0.1</v>
      </c>
      <c r="L389">
        <v>10801.31</v>
      </c>
      <c r="M389">
        <v>8368.57</v>
      </c>
      <c r="N389">
        <v>2432.7399999999998</v>
      </c>
      <c r="O389" t="s">
        <v>38</v>
      </c>
      <c r="P389" t="s">
        <v>45</v>
      </c>
      <c r="Q389" t="s">
        <v>40</v>
      </c>
      <c r="R389" t="s">
        <v>449</v>
      </c>
      <c r="S389">
        <v>5</v>
      </c>
      <c r="T389" t="s">
        <v>379</v>
      </c>
      <c r="U389">
        <v>0.22522638457742625</v>
      </c>
    </row>
    <row r="390" spans="1:21">
      <c r="A390">
        <v>88</v>
      </c>
      <c r="B390" s="1">
        <v>45805</v>
      </c>
      <c r="C390" t="s">
        <v>503</v>
      </c>
      <c r="D390" t="s">
        <v>429</v>
      </c>
      <c r="E390" t="s">
        <v>34</v>
      </c>
      <c r="F390" t="s">
        <v>49</v>
      </c>
      <c r="G390" t="s">
        <v>69</v>
      </c>
      <c r="H390" t="s">
        <v>70</v>
      </c>
      <c r="I390">
        <v>1</v>
      </c>
      <c r="J390">
        <v>2190.9699999999998</v>
      </c>
      <c r="K390">
        <v>0.1</v>
      </c>
      <c r="L390">
        <v>1971.87</v>
      </c>
      <c r="M390">
        <v>1619.87</v>
      </c>
      <c r="N390">
        <v>352</v>
      </c>
      <c r="O390" t="s">
        <v>38</v>
      </c>
      <c r="P390" t="s">
        <v>28</v>
      </c>
      <c r="Q390" t="s">
        <v>46</v>
      </c>
      <c r="R390" t="s">
        <v>449</v>
      </c>
      <c r="S390">
        <v>5</v>
      </c>
      <c r="T390" t="s">
        <v>379</v>
      </c>
      <c r="U390">
        <v>0.17851075375151507</v>
      </c>
    </row>
    <row r="391" spans="1:21">
      <c r="A391">
        <v>382</v>
      </c>
      <c r="B391" s="1">
        <v>45806</v>
      </c>
      <c r="C391" t="s">
        <v>398</v>
      </c>
      <c r="D391" t="s">
        <v>280</v>
      </c>
      <c r="E391" t="s">
        <v>54</v>
      </c>
      <c r="F391" t="s">
        <v>55</v>
      </c>
      <c r="G391" t="s">
        <v>59</v>
      </c>
      <c r="H391" t="s">
        <v>37</v>
      </c>
      <c r="I391">
        <v>3</v>
      </c>
      <c r="J391">
        <v>6391.74</v>
      </c>
      <c r="K391">
        <v>0</v>
      </c>
      <c r="L391">
        <v>19175.22</v>
      </c>
      <c r="M391">
        <v>15526.66</v>
      </c>
      <c r="N391">
        <v>3648.56</v>
      </c>
      <c r="O391" t="s">
        <v>38</v>
      </c>
      <c r="P391" t="s">
        <v>71</v>
      </c>
      <c r="Q391" t="s">
        <v>29</v>
      </c>
      <c r="R391" t="s">
        <v>449</v>
      </c>
      <c r="S391">
        <v>5</v>
      </c>
      <c r="T391" t="s">
        <v>379</v>
      </c>
      <c r="U391">
        <v>0.190274740002983</v>
      </c>
    </row>
    <row r="392" spans="1:21">
      <c r="A392">
        <v>771</v>
      </c>
      <c r="B392" s="1">
        <v>45806</v>
      </c>
      <c r="C392" t="s">
        <v>372</v>
      </c>
      <c r="D392" t="s">
        <v>358</v>
      </c>
      <c r="E392" t="s">
        <v>54</v>
      </c>
      <c r="F392" t="s">
        <v>127</v>
      </c>
      <c r="G392" t="s">
        <v>50</v>
      </c>
      <c r="H392" t="s">
        <v>51</v>
      </c>
      <c r="I392">
        <v>2</v>
      </c>
      <c r="J392">
        <v>1399.97</v>
      </c>
      <c r="K392">
        <v>0</v>
      </c>
      <c r="L392">
        <v>2799.94</v>
      </c>
      <c r="M392">
        <v>2225.0100000000002</v>
      </c>
      <c r="N392">
        <v>574.92999999999995</v>
      </c>
      <c r="O392" t="s">
        <v>38</v>
      </c>
      <c r="P392" t="s">
        <v>28</v>
      </c>
      <c r="Q392" t="s">
        <v>46</v>
      </c>
      <c r="R392" t="s">
        <v>449</v>
      </c>
      <c r="S392">
        <v>5</v>
      </c>
      <c r="T392" t="s">
        <v>379</v>
      </c>
      <c r="U392">
        <v>0.20533654292591982</v>
      </c>
    </row>
    <row r="393" spans="1:21">
      <c r="A393">
        <v>813</v>
      </c>
      <c r="B393" s="1">
        <v>45806</v>
      </c>
      <c r="C393" t="s">
        <v>504</v>
      </c>
      <c r="D393" t="s">
        <v>505</v>
      </c>
      <c r="E393" t="s">
        <v>54</v>
      </c>
      <c r="F393" t="s">
        <v>108</v>
      </c>
      <c r="G393" t="s">
        <v>105</v>
      </c>
      <c r="H393" t="s">
        <v>26</v>
      </c>
      <c r="I393">
        <v>2</v>
      </c>
      <c r="J393">
        <v>3224.18</v>
      </c>
      <c r="K393">
        <v>0</v>
      </c>
      <c r="L393">
        <v>6448.36</v>
      </c>
      <c r="M393">
        <v>5149.57</v>
      </c>
      <c r="N393">
        <v>1298.79</v>
      </c>
      <c r="O393" t="s">
        <v>27</v>
      </c>
      <c r="P393" t="s">
        <v>45</v>
      </c>
      <c r="Q393" t="s">
        <v>29</v>
      </c>
      <c r="R393" t="s">
        <v>449</v>
      </c>
      <c r="S393">
        <v>5</v>
      </c>
      <c r="T393" t="s">
        <v>379</v>
      </c>
      <c r="U393">
        <v>0.2014140029402825</v>
      </c>
    </row>
    <row r="394" spans="1:21">
      <c r="A394">
        <v>505</v>
      </c>
      <c r="B394" s="1">
        <v>45806</v>
      </c>
      <c r="C394" t="s">
        <v>506</v>
      </c>
      <c r="D394" t="s">
        <v>489</v>
      </c>
      <c r="E394" t="s">
        <v>97</v>
      </c>
      <c r="F394" t="s">
        <v>148</v>
      </c>
      <c r="G394" t="s">
        <v>62</v>
      </c>
      <c r="H394" t="s">
        <v>63</v>
      </c>
      <c r="I394">
        <v>3</v>
      </c>
      <c r="J394">
        <v>251.4</v>
      </c>
      <c r="K394">
        <v>0.02</v>
      </c>
      <c r="L394">
        <v>739.12</v>
      </c>
      <c r="M394">
        <v>598.34</v>
      </c>
      <c r="N394">
        <v>140.78</v>
      </c>
      <c r="O394" t="s">
        <v>38</v>
      </c>
      <c r="P394" t="s">
        <v>71</v>
      </c>
      <c r="Q394" t="s">
        <v>46</v>
      </c>
      <c r="R394" t="s">
        <v>449</v>
      </c>
      <c r="S394">
        <v>5</v>
      </c>
      <c r="T394" t="s">
        <v>379</v>
      </c>
      <c r="U394">
        <v>0.19046974780820436</v>
      </c>
    </row>
    <row r="395" spans="1:21">
      <c r="A395">
        <v>398</v>
      </c>
      <c r="B395" s="1">
        <v>45807</v>
      </c>
      <c r="C395" t="s">
        <v>32</v>
      </c>
      <c r="D395" t="s">
        <v>505</v>
      </c>
      <c r="E395" t="s">
        <v>54</v>
      </c>
      <c r="F395" t="s">
        <v>127</v>
      </c>
      <c r="G395" t="s">
        <v>25</v>
      </c>
      <c r="H395" t="s">
        <v>26</v>
      </c>
      <c r="I395">
        <v>3</v>
      </c>
      <c r="J395">
        <v>9374.18</v>
      </c>
      <c r="K395">
        <v>0.05</v>
      </c>
      <c r="L395">
        <v>26716.41</v>
      </c>
      <c r="M395">
        <v>24358.52</v>
      </c>
      <c r="N395">
        <v>2357.89</v>
      </c>
      <c r="O395" t="s">
        <v>38</v>
      </c>
      <c r="P395" t="s">
        <v>39</v>
      </c>
      <c r="Q395" t="s">
        <v>40</v>
      </c>
      <c r="R395" t="s">
        <v>449</v>
      </c>
      <c r="S395">
        <v>5</v>
      </c>
      <c r="T395" t="s">
        <v>379</v>
      </c>
      <c r="U395">
        <v>8.8256244008832016E-2</v>
      </c>
    </row>
    <row r="396" spans="1:21">
      <c r="A396">
        <v>225</v>
      </c>
      <c r="B396" s="1">
        <v>45807</v>
      </c>
      <c r="C396" t="s">
        <v>197</v>
      </c>
      <c r="D396" t="s">
        <v>507</v>
      </c>
      <c r="E396" t="s">
        <v>23</v>
      </c>
      <c r="F396" t="s">
        <v>43</v>
      </c>
      <c r="G396" t="s">
        <v>50</v>
      </c>
      <c r="H396" t="s">
        <v>51</v>
      </c>
      <c r="I396">
        <v>1</v>
      </c>
      <c r="J396">
        <v>807.06</v>
      </c>
      <c r="K396">
        <v>0.02</v>
      </c>
      <c r="L396">
        <v>790.92</v>
      </c>
      <c r="M396">
        <v>703.13</v>
      </c>
      <c r="N396">
        <v>87.79</v>
      </c>
      <c r="O396" t="s">
        <v>38</v>
      </c>
      <c r="P396" t="s">
        <v>39</v>
      </c>
      <c r="Q396" t="s">
        <v>40</v>
      </c>
      <c r="R396" t="s">
        <v>449</v>
      </c>
      <c r="S396">
        <v>5</v>
      </c>
      <c r="T396" t="s">
        <v>379</v>
      </c>
      <c r="U396">
        <v>0.11099731957720124</v>
      </c>
    </row>
    <row r="397" spans="1:21">
      <c r="A397">
        <v>532</v>
      </c>
      <c r="B397" s="1">
        <v>45807</v>
      </c>
      <c r="C397" t="s">
        <v>508</v>
      </c>
      <c r="D397" t="s">
        <v>159</v>
      </c>
      <c r="E397" t="s">
        <v>23</v>
      </c>
      <c r="F397" t="s">
        <v>24</v>
      </c>
      <c r="G397" t="s">
        <v>66</v>
      </c>
      <c r="H397" t="s">
        <v>51</v>
      </c>
      <c r="I397">
        <v>1</v>
      </c>
      <c r="J397">
        <v>2652.5</v>
      </c>
      <c r="K397">
        <v>0</v>
      </c>
      <c r="L397">
        <v>2652.5</v>
      </c>
      <c r="M397">
        <v>1878.3</v>
      </c>
      <c r="N397">
        <v>774.2</v>
      </c>
      <c r="O397" t="s">
        <v>38</v>
      </c>
      <c r="P397" t="s">
        <v>78</v>
      </c>
      <c r="Q397" t="s">
        <v>46</v>
      </c>
      <c r="R397" t="s">
        <v>449</v>
      </c>
      <c r="S397">
        <v>5</v>
      </c>
      <c r="T397" t="s">
        <v>379</v>
      </c>
      <c r="U397">
        <v>0.29187558906691802</v>
      </c>
    </row>
    <row r="398" spans="1:21">
      <c r="A398">
        <v>162</v>
      </c>
      <c r="B398" s="1">
        <v>45807</v>
      </c>
      <c r="C398" t="s">
        <v>445</v>
      </c>
      <c r="D398" t="s">
        <v>509</v>
      </c>
      <c r="E398" t="s">
        <v>34</v>
      </c>
      <c r="F398" t="s">
        <v>86</v>
      </c>
      <c r="G398" t="s">
        <v>44</v>
      </c>
      <c r="H398" t="s">
        <v>26</v>
      </c>
      <c r="I398">
        <v>1</v>
      </c>
      <c r="J398">
        <v>69737.47</v>
      </c>
      <c r="K398">
        <v>0</v>
      </c>
      <c r="L398">
        <v>69737.47</v>
      </c>
      <c r="M398">
        <v>47167.1</v>
      </c>
      <c r="N398">
        <v>22570.37</v>
      </c>
      <c r="O398" t="s">
        <v>38</v>
      </c>
      <c r="P398" t="s">
        <v>78</v>
      </c>
      <c r="Q398" t="s">
        <v>46</v>
      </c>
      <c r="R398" t="s">
        <v>449</v>
      </c>
      <c r="S398">
        <v>5</v>
      </c>
      <c r="T398" t="s">
        <v>379</v>
      </c>
      <c r="U398">
        <v>0.32364767462886163</v>
      </c>
    </row>
    <row r="399" spans="1:21">
      <c r="A399">
        <v>601</v>
      </c>
      <c r="B399" s="1">
        <v>45807</v>
      </c>
      <c r="C399" t="s">
        <v>56</v>
      </c>
      <c r="D399" t="s">
        <v>495</v>
      </c>
      <c r="E399" t="s">
        <v>23</v>
      </c>
      <c r="F399" t="s">
        <v>58</v>
      </c>
      <c r="G399" t="s">
        <v>36</v>
      </c>
      <c r="H399" t="s">
        <v>37</v>
      </c>
      <c r="I399">
        <v>1</v>
      </c>
      <c r="J399">
        <v>11424.96</v>
      </c>
      <c r="K399">
        <v>0.15</v>
      </c>
      <c r="L399">
        <v>9711.2199999999993</v>
      </c>
      <c r="M399">
        <v>7827.11</v>
      </c>
      <c r="N399">
        <v>1884.11</v>
      </c>
      <c r="O399" t="s">
        <v>27</v>
      </c>
      <c r="P399" t="s">
        <v>78</v>
      </c>
      <c r="Q399" t="s">
        <v>46</v>
      </c>
      <c r="R399" t="s">
        <v>449</v>
      </c>
      <c r="S399">
        <v>5</v>
      </c>
      <c r="T399" t="s">
        <v>379</v>
      </c>
      <c r="U399">
        <v>0.19401372845018444</v>
      </c>
    </row>
    <row r="400" spans="1:21">
      <c r="A400">
        <v>93</v>
      </c>
      <c r="B400" s="1">
        <v>45808</v>
      </c>
      <c r="C400" t="s">
        <v>146</v>
      </c>
      <c r="D400" t="s">
        <v>465</v>
      </c>
      <c r="E400" t="s">
        <v>76</v>
      </c>
      <c r="F400" t="s">
        <v>77</v>
      </c>
      <c r="G400" t="s">
        <v>59</v>
      </c>
      <c r="H400" t="s">
        <v>37</v>
      </c>
      <c r="I400">
        <v>4</v>
      </c>
      <c r="J400">
        <v>16652.37</v>
      </c>
      <c r="K400">
        <v>0.02</v>
      </c>
      <c r="L400">
        <v>65277.29</v>
      </c>
      <c r="M400">
        <v>42778.75</v>
      </c>
      <c r="N400">
        <v>22498.54</v>
      </c>
      <c r="O400" t="s">
        <v>27</v>
      </c>
      <c r="P400" t="s">
        <v>71</v>
      </c>
      <c r="Q400" t="s">
        <v>46</v>
      </c>
      <c r="R400" t="s">
        <v>449</v>
      </c>
      <c r="S400">
        <v>5</v>
      </c>
      <c r="T400" t="s">
        <v>379</v>
      </c>
      <c r="U400">
        <v>0.34466106053115869</v>
      </c>
    </row>
    <row r="401" spans="1:21">
      <c r="A401">
        <v>923</v>
      </c>
      <c r="B401" s="1">
        <v>45808</v>
      </c>
      <c r="C401" t="s">
        <v>482</v>
      </c>
      <c r="D401" t="s">
        <v>234</v>
      </c>
      <c r="E401" t="s">
        <v>76</v>
      </c>
      <c r="F401" t="s">
        <v>81</v>
      </c>
      <c r="G401" t="s">
        <v>145</v>
      </c>
      <c r="H401" t="s">
        <v>70</v>
      </c>
      <c r="I401">
        <v>4</v>
      </c>
      <c r="J401">
        <v>1622.2</v>
      </c>
      <c r="K401">
        <v>0.02</v>
      </c>
      <c r="L401">
        <v>6359.02</v>
      </c>
      <c r="M401">
        <v>5346.05</v>
      </c>
      <c r="N401">
        <v>1012.97</v>
      </c>
      <c r="O401" t="s">
        <v>38</v>
      </c>
      <c r="P401" t="s">
        <v>28</v>
      </c>
      <c r="Q401" t="s">
        <v>29</v>
      </c>
      <c r="R401" t="s">
        <v>449</v>
      </c>
      <c r="S401">
        <v>5</v>
      </c>
      <c r="T401" t="s">
        <v>379</v>
      </c>
      <c r="U401">
        <v>0.15929655827470271</v>
      </c>
    </row>
    <row r="402" spans="1:21">
      <c r="A402">
        <v>987</v>
      </c>
      <c r="B402" s="1">
        <v>45809</v>
      </c>
      <c r="C402" t="s">
        <v>156</v>
      </c>
      <c r="D402" t="s">
        <v>477</v>
      </c>
      <c r="E402" t="s">
        <v>76</v>
      </c>
      <c r="F402" t="s">
        <v>77</v>
      </c>
      <c r="G402" t="s">
        <v>145</v>
      </c>
      <c r="H402" t="s">
        <v>70</v>
      </c>
      <c r="I402">
        <v>2</v>
      </c>
      <c r="J402">
        <v>2141.9299999999998</v>
      </c>
      <c r="K402">
        <v>0</v>
      </c>
      <c r="L402">
        <v>4283.8599999999997</v>
      </c>
      <c r="M402">
        <v>3619.5</v>
      </c>
      <c r="N402">
        <v>664.36</v>
      </c>
      <c r="O402" t="s">
        <v>27</v>
      </c>
      <c r="P402" t="s">
        <v>28</v>
      </c>
      <c r="Q402" t="s">
        <v>29</v>
      </c>
      <c r="R402" t="s">
        <v>510</v>
      </c>
      <c r="S402">
        <v>6</v>
      </c>
      <c r="T402" t="s">
        <v>379</v>
      </c>
      <c r="U402">
        <v>0.15508443319809706</v>
      </c>
    </row>
    <row r="403" spans="1:21">
      <c r="A403">
        <v>721</v>
      </c>
      <c r="B403" s="1">
        <v>45809</v>
      </c>
      <c r="C403" t="s">
        <v>469</v>
      </c>
      <c r="D403" t="s">
        <v>441</v>
      </c>
      <c r="E403" t="s">
        <v>34</v>
      </c>
      <c r="F403" t="s">
        <v>86</v>
      </c>
      <c r="G403" t="s">
        <v>59</v>
      </c>
      <c r="H403" t="s">
        <v>37</v>
      </c>
      <c r="I403">
        <v>2</v>
      </c>
      <c r="J403">
        <v>9362.92</v>
      </c>
      <c r="K403">
        <v>0.15</v>
      </c>
      <c r="L403">
        <v>15916.96</v>
      </c>
      <c r="M403">
        <v>13967.38</v>
      </c>
      <c r="N403">
        <v>1949.58</v>
      </c>
      <c r="O403" t="s">
        <v>38</v>
      </c>
      <c r="P403" t="s">
        <v>39</v>
      </c>
      <c r="Q403" t="s">
        <v>40</v>
      </c>
      <c r="R403" t="s">
        <v>510</v>
      </c>
      <c r="S403">
        <v>6</v>
      </c>
      <c r="T403" t="s">
        <v>379</v>
      </c>
      <c r="U403">
        <v>0.12248444426573919</v>
      </c>
    </row>
    <row r="404" spans="1:21">
      <c r="A404">
        <v>185</v>
      </c>
      <c r="B404" s="1">
        <v>45809</v>
      </c>
      <c r="C404" t="s">
        <v>511</v>
      </c>
      <c r="D404" t="s">
        <v>403</v>
      </c>
      <c r="E404" t="s">
        <v>76</v>
      </c>
      <c r="F404" t="s">
        <v>113</v>
      </c>
      <c r="G404" t="s">
        <v>36</v>
      </c>
      <c r="H404" t="s">
        <v>37</v>
      </c>
      <c r="I404">
        <v>1</v>
      </c>
      <c r="J404">
        <v>5017.5</v>
      </c>
      <c r="K404">
        <v>0</v>
      </c>
      <c r="L404">
        <v>5017.5</v>
      </c>
      <c r="M404">
        <v>3204.89</v>
      </c>
      <c r="N404">
        <v>1812.61</v>
      </c>
      <c r="O404" t="s">
        <v>27</v>
      </c>
      <c r="P404" t="s">
        <v>71</v>
      </c>
      <c r="Q404" t="s">
        <v>40</v>
      </c>
      <c r="R404" t="s">
        <v>510</v>
      </c>
      <c r="S404">
        <v>6</v>
      </c>
      <c r="T404" t="s">
        <v>379</v>
      </c>
      <c r="U404">
        <v>0.36125759840558047</v>
      </c>
    </row>
    <row r="405" spans="1:21">
      <c r="A405">
        <v>814</v>
      </c>
      <c r="B405" s="1">
        <v>45810</v>
      </c>
      <c r="C405" t="s">
        <v>512</v>
      </c>
      <c r="D405" t="s">
        <v>513</v>
      </c>
      <c r="E405" t="s">
        <v>34</v>
      </c>
      <c r="F405" t="s">
        <v>49</v>
      </c>
      <c r="G405" t="s">
        <v>105</v>
      </c>
      <c r="H405" t="s">
        <v>26</v>
      </c>
      <c r="I405">
        <v>2</v>
      </c>
      <c r="J405">
        <v>2624.73</v>
      </c>
      <c r="K405">
        <v>0</v>
      </c>
      <c r="L405">
        <v>5249.46</v>
      </c>
      <c r="M405">
        <v>4217.3100000000004</v>
      </c>
      <c r="N405">
        <v>1032.1500000000001</v>
      </c>
      <c r="O405" t="s">
        <v>38</v>
      </c>
      <c r="P405" t="s">
        <v>28</v>
      </c>
      <c r="Q405" t="s">
        <v>40</v>
      </c>
      <c r="R405" t="s">
        <v>510</v>
      </c>
      <c r="S405">
        <v>6</v>
      </c>
      <c r="T405" t="s">
        <v>379</v>
      </c>
      <c r="U405">
        <v>0.19662022379444744</v>
      </c>
    </row>
    <row r="406" spans="1:21">
      <c r="A406">
        <v>576</v>
      </c>
      <c r="B406" s="1">
        <v>45810</v>
      </c>
      <c r="C406" t="s">
        <v>486</v>
      </c>
      <c r="D406" t="s">
        <v>212</v>
      </c>
      <c r="E406" t="s">
        <v>34</v>
      </c>
      <c r="F406" t="s">
        <v>86</v>
      </c>
      <c r="G406" t="s">
        <v>25</v>
      </c>
      <c r="H406" t="s">
        <v>26</v>
      </c>
      <c r="I406">
        <v>1</v>
      </c>
      <c r="J406">
        <v>19737.599999999999</v>
      </c>
      <c r="K406">
        <v>0.02</v>
      </c>
      <c r="L406">
        <v>19342.849999999999</v>
      </c>
      <c r="M406">
        <v>14869.07</v>
      </c>
      <c r="N406">
        <v>4473.78</v>
      </c>
      <c r="O406" t="s">
        <v>38</v>
      </c>
      <c r="P406" t="s">
        <v>71</v>
      </c>
      <c r="Q406" t="s">
        <v>40</v>
      </c>
      <c r="R406" t="s">
        <v>510</v>
      </c>
      <c r="S406">
        <v>6</v>
      </c>
      <c r="T406" t="s">
        <v>379</v>
      </c>
      <c r="U406">
        <v>0.23128856399134565</v>
      </c>
    </row>
    <row r="407" spans="1:21">
      <c r="A407">
        <v>326</v>
      </c>
      <c r="B407" s="1">
        <v>45810</v>
      </c>
      <c r="C407" t="s">
        <v>469</v>
      </c>
      <c r="D407" t="s">
        <v>514</v>
      </c>
      <c r="E407" t="s">
        <v>34</v>
      </c>
      <c r="F407" t="s">
        <v>35</v>
      </c>
      <c r="G407" t="s">
        <v>25</v>
      </c>
      <c r="H407" t="s">
        <v>26</v>
      </c>
      <c r="I407">
        <v>4</v>
      </c>
      <c r="J407">
        <v>11710.18</v>
      </c>
      <c r="K407">
        <v>0.02</v>
      </c>
      <c r="L407">
        <v>45903.91</v>
      </c>
      <c r="M407">
        <v>39131.879999999997</v>
      </c>
      <c r="N407">
        <v>6772.03</v>
      </c>
      <c r="O407" t="s">
        <v>38</v>
      </c>
      <c r="P407" t="s">
        <v>71</v>
      </c>
      <c r="Q407" t="s">
        <v>40</v>
      </c>
      <c r="R407" t="s">
        <v>510</v>
      </c>
      <c r="S407">
        <v>6</v>
      </c>
      <c r="T407" t="s">
        <v>379</v>
      </c>
      <c r="U407">
        <v>0.14752621290866069</v>
      </c>
    </row>
    <row r="408" spans="1:21">
      <c r="A408">
        <v>102</v>
      </c>
      <c r="B408" s="1">
        <v>45811</v>
      </c>
      <c r="C408" t="s">
        <v>515</v>
      </c>
      <c r="D408" t="s">
        <v>344</v>
      </c>
      <c r="E408" t="s">
        <v>54</v>
      </c>
      <c r="F408" t="s">
        <v>55</v>
      </c>
      <c r="G408" t="s">
        <v>44</v>
      </c>
      <c r="H408" t="s">
        <v>26</v>
      </c>
      <c r="I408">
        <v>2</v>
      </c>
      <c r="J408">
        <v>64927.32</v>
      </c>
      <c r="K408">
        <v>0.05</v>
      </c>
      <c r="L408">
        <v>123361.91</v>
      </c>
      <c r="M408">
        <v>91794.69</v>
      </c>
      <c r="N408">
        <v>31567.22</v>
      </c>
      <c r="O408" t="s">
        <v>27</v>
      </c>
      <c r="P408" t="s">
        <v>28</v>
      </c>
      <c r="Q408" t="s">
        <v>29</v>
      </c>
      <c r="R408" t="s">
        <v>510</v>
      </c>
      <c r="S408">
        <v>6</v>
      </c>
      <c r="T408" t="s">
        <v>379</v>
      </c>
      <c r="U408">
        <v>0.2558911417632882</v>
      </c>
    </row>
    <row r="409" spans="1:21">
      <c r="A409">
        <v>155</v>
      </c>
      <c r="B409" s="1">
        <v>45811</v>
      </c>
      <c r="C409" t="s">
        <v>111</v>
      </c>
      <c r="D409" t="s">
        <v>516</v>
      </c>
      <c r="E409" t="s">
        <v>97</v>
      </c>
      <c r="F409" t="s">
        <v>104</v>
      </c>
      <c r="G409" t="s">
        <v>69</v>
      </c>
      <c r="H409" t="s">
        <v>70</v>
      </c>
      <c r="I409">
        <v>1</v>
      </c>
      <c r="J409">
        <v>3131</v>
      </c>
      <c r="K409">
        <v>0.1</v>
      </c>
      <c r="L409">
        <v>2817.9</v>
      </c>
      <c r="M409">
        <v>1962.09</v>
      </c>
      <c r="N409">
        <v>855.81</v>
      </c>
      <c r="O409" t="s">
        <v>38</v>
      </c>
      <c r="P409" t="s">
        <v>45</v>
      </c>
      <c r="Q409" t="s">
        <v>29</v>
      </c>
      <c r="R409" t="s">
        <v>510</v>
      </c>
      <c r="S409">
        <v>6</v>
      </c>
      <c r="T409" t="s">
        <v>379</v>
      </c>
      <c r="U409">
        <v>0.30370488661769401</v>
      </c>
    </row>
    <row r="410" spans="1:21">
      <c r="A410">
        <v>689</v>
      </c>
      <c r="B410" s="1">
        <v>45811</v>
      </c>
      <c r="C410" t="s">
        <v>389</v>
      </c>
      <c r="D410" t="s">
        <v>361</v>
      </c>
      <c r="E410" t="s">
        <v>34</v>
      </c>
      <c r="F410" t="s">
        <v>86</v>
      </c>
      <c r="G410" t="s">
        <v>66</v>
      </c>
      <c r="H410" t="s">
        <v>51</v>
      </c>
      <c r="I410">
        <v>2</v>
      </c>
      <c r="J410">
        <v>3435.23</v>
      </c>
      <c r="K410">
        <v>0.15</v>
      </c>
      <c r="L410">
        <v>5839.89</v>
      </c>
      <c r="M410">
        <v>5833.96</v>
      </c>
      <c r="N410">
        <v>5.93</v>
      </c>
      <c r="O410" t="s">
        <v>38</v>
      </c>
      <c r="P410" t="s">
        <v>78</v>
      </c>
      <c r="Q410" t="s">
        <v>40</v>
      </c>
      <c r="R410" t="s">
        <v>510</v>
      </c>
      <c r="S410">
        <v>6</v>
      </c>
      <c r="T410" t="s">
        <v>379</v>
      </c>
      <c r="U410">
        <v>1.0154300851557135E-3</v>
      </c>
    </row>
    <row r="411" spans="1:21">
      <c r="A411">
        <v>862</v>
      </c>
      <c r="B411" s="1">
        <v>45812</v>
      </c>
      <c r="C411" t="s">
        <v>452</v>
      </c>
      <c r="D411" t="s">
        <v>493</v>
      </c>
      <c r="E411" t="s">
        <v>97</v>
      </c>
      <c r="F411" t="s">
        <v>148</v>
      </c>
      <c r="G411" t="s">
        <v>59</v>
      </c>
      <c r="H411" t="s">
        <v>37</v>
      </c>
      <c r="I411">
        <v>2</v>
      </c>
      <c r="J411">
        <v>13303.44</v>
      </c>
      <c r="K411">
        <v>0.15</v>
      </c>
      <c r="L411">
        <v>22615.85</v>
      </c>
      <c r="M411">
        <v>19517.8</v>
      </c>
      <c r="N411">
        <v>3098.05</v>
      </c>
      <c r="O411" t="s">
        <v>27</v>
      </c>
      <c r="P411" t="s">
        <v>28</v>
      </c>
      <c r="Q411" t="s">
        <v>40</v>
      </c>
      <c r="R411" t="s">
        <v>510</v>
      </c>
      <c r="S411">
        <v>6</v>
      </c>
      <c r="T411" t="s">
        <v>379</v>
      </c>
      <c r="U411">
        <v>0.13698578651697815</v>
      </c>
    </row>
    <row r="412" spans="1:21">
      <c r="A412">
        <v>535</v>
      </c>
      <c r="B412" s="1">
        <v>45813</v>
      </c>
      <c r="C412" t="s">
        <v>64</v>
      </c>
      <c r="D412" t="s">
        <v>223</v>
      </c>
      <c r="E412" t="s">
        <v>54</v>
      </c>
      <c r="F412" t="s">
        <v>55</v>
      </c>
      <c r="G412" t="s">
        <v>66</v>
      </c>
      <c r="H412" t="s">
        <v>51</v>
      </c>
      <c r="I412">
        <v>2</v>
      </c>
      <c r="J412">
        <v>3048.81</v>
      </c>
      <c r="K412">
        <v>0.1</v>
      </c>
      <c r="L412">
        <v>5487.86</v>
      </c>
      <c r="M412">
        <v>3867.1</v>
      </c>
      <c r="N412">
        <v>1620.76</v>
      </c>
      <c r="O412" t="s">
        <v>38</v>
      </c>
      <c r="P412" t="s">
        <v>28</v>
      </c>
      <c r="Q412" t="s">
        <v>40</v>
      </c>
      <c r="R412" t="s">
        <v>510</v>
      </c>
      <c r="S412">
        <v>6</v>
      </c>
      <c r="T412" t="s">
        <v>379</v>
      </c>
      <c r="U412">
        <v>0.2953355224076416</v>
      </c>
    </row>
    <row r="413" spans="1:21">
      <c r="A413">
        <v>885</v>
      </c>
      <c r="B413" s="1">
        <v>45813</v>
      </c>
      <c r="C413" t="s">
        <v>258</v>
      </c>
      <c r="D413" t="s">
        <v>219</v>
      </c>
      <c r="E413" t="s">
        <v>34</v>
      </c>
      <c r="F413" t="s">
        <v>86</v>
      </c>
      <c r="G413" t="s">
        <v>62</v>
      </c>
      <c r="H413" t="s">
        <v>63</v>
      </c>
      <c r="I413">
        <v>1</v>
      </c>
      <c r="J413">
        <v>87.83</v>
      </c>
      <c r="K413">
        <v>0.1</v>
      </c>
      <c r="L413">
        <v>79.05</v>
      </c>
      <c r="M413">
        <v>54.73</v>
      </c>
      <c r="N413">
        <v>24.32</v>
      </c>
      <c r="O413" t="s">
        <v>38</v>
      </c>
      <c r="P413" t="s">
        <v>78</v>
      </c>
      <c r="Q413" t="s">
        <v>46</v>
      </c>
      <c r="R413" t="s">
        <v>510</v>
      </c>
      <c r="S413">
        <v>6</v>
      </c>
      <c r="T413" t="s">
        <v>379</v>
      </c>
      <c r="U413">
        <v>0.30765338393421887</v>
      </c>
    </row>
    <row r="414" spans="1:21">
      <c r="A414">
        <v>284</v>
      </c>
      <c r="B414" s="1">
        <v>45813</v>
      </c>
      <c r="C414" t="s">
        <v>321</v>
      </c>
      <c r="D414" t="s">
        <v>365</v>
      </c>
      <c r="E414" t="s">
        <v>23</v>
      </c>
      <c r="F414" t="s">
        <v>58</v>
      </c>
      <c r="G414" t="s">
        <v>44</v>
      </c>
      <c r="H414" t="s">
        <v>26</v>
      </c>
      <c r="I414">
        <v>2</v>
      </c>
      <c r="J414">
        <v>74623.850000000006</v>
      </c>
      <c r="K414">
        <v>0.02</v>
      </c>
      <c r="L414">
        <v>146262.75</v>
      </c>
      <c r="M414">
        <v>125664.19</v>
      </c>
      <c r="N414">
        <v>20598.560000000001</v>
      </c>
      <c r="O414" t="s">
        <v>27</v>
      </c>
      <c r="P414" t="s">
        <v>78</v>
      </c>
      <c r="Q414" t="s">
        <v>46</v>
      </c>
      <c r="R414" t="s">
        <v>510</v>
      </c>
      <c r="S414">
        <v>6</v>
      </c>
      <c r="T414" t="s">
        <v>379</v>
      </c>
      <c r="U414">
        <v>0.14083257698901464</v>
      </c>
    </row>
    <row r="415" spans="1:21">
      <c r="A415">
        <v>873</v>
      </c>
      <c r="B415" s="1">
        <v>45813</v>
      </c>
      <c r="C415" t="s">
        <v>307</v>
      </c>
      <c r="D415" t="s">
        <v>278</v>
      </c>
      <c r="E415" t="s">
        <v>76</v>
      </c>
      <c r="F415" t="s">
        <v>77</v>
      </c>
      <c r="G415" t="s">
        <v>50</v>
      </c>
      <c r="H415" t="s">
        <v>51</v>
      </c>
      <c r="I415">
        <v>2</v>
      </c>
      <c r="J415">
        <v>694.56</v>
      </c>
      <c r="K415">
        <v>0.15</v>
      </c>
      <c r="L415">
        <v>1180.75</v>
      </c>
      <c r="M415">
        <v>967.42</v>
      </c>
      <c r="N415">
        <v>213.33</v>
      </c>
      <c r="O415" t="s">
        <v>38</v>
      </c>
      <c r="P415" t="s">
        <v>39</v>
      </c>
      <c r="Q415" t="s">
        <v>29</v>
      </c>
      <c r="R415" t="s">
        <v>510</v>
      </c>
      <c r="S415">
        <v>6</v>
      </c>
      <c r="T415" t="s">
        <v>379</v>
      </c>
      <c r="U415">
        <v>0.18067330086809233</v>
      </c>
    </row>
    <row r="416" spans="1:21">
      <c r="A416">
        <v>749</v>
      </c>
      <c r="B416" s="1">
        <v>45813</v>
      </c>
      <c r="C416" t="s">
        <v>443</v>
      </c>
      <c r="D416" t="s">
        <v>155</v>
      </c>
      <c r="E416" t="s">
        <v>97</v>
      </c>
      <c r="F416" t="s">
        <v>104</v>
      </c>
      <c r="G416" t="s">
        <v>66</v>
      </c>
      <c r="H416" t="s">
        <v>51</v>
      </c>
      <c r="I416">
        <v>1</v>
      </c>
      <c r="J416">
        <v>1357.81</v>
      </c>
      <c r="K416">
        <v>0.02</v>
      </c>
      <c r="L416">
        <v>1330.65</v>
      </c>
      <c r="M416">
        <v>924.52</v>
      </c>
      <c r="N416">
        <v>406.13</v>
      </c>
      <c r="O416" t="s">
        <v>38</v>
      </c>
      <c r="P416" t="s">
        <v>71</v>
      </c>
      <c r="Q416" t="s">
        <v>29</v>
      </c>
      <c r="R416" t="s">
        <v>510</v>
      </c>
      <c r="S416">
        <v>6</v>
      </c>
      <c r="T416" t="s">
        <v>379</v>
      </c>
      <c r="U416">
        <v>0.30521173862398071</v>
      </c>
    </row>
    <row r="417" spans="1:21">
      <c r="A417">
        <v>275</v>
      </c>
      <c r="B417" s="1">
        <v>45813</v>
      </c>
      <c r="C417" t="s">
        <v>166</v>
      </c>
      <c r="D417" t="s">
        <v>196</v>
      </c>
      <c r="E417" t="s">
        <v>23</v>
      </c>
      <c r="F417" t="s">
        <v>58</v>
      </c>
      <c r="G417" t="s">
        <v>99</v>
      </c>
      <c r="H417" t="s">
        <v>26</v>
      </c>
      <c r="I417">
        <v>1</v>
      </c>
      <c r="J417">
        <v>9874.7900000000009</v>
      </c>
      <c r="K417">
        <v>0</v>
      </c>
      <c r="L417">
        <v>9874.7900000000009</v>
      </c>
      <c r="M417">
        <v>6923.06</v>
      </c>
      <c r="N417">
        <v>2951.73</v>
      </c>
      <c r="O417" t="s">
        <v>38</v>
      </c>
      <c r="P417" t="s">
        <v>78</v>
      </c>
      <c r="Q417" t="s">
        <v>40</v>
      </c>
      <c r="R417" t="s">
        <v>510</v>
      </c>
      <c r="S417">
        <v>6</v>
      </c>
      <c r="T417" t="s">
        <v>379</v>
      </c>
      <c r="U417">
        <v>0.29891572377741704</v>
      </c>
    </row>
    <row r="418" spans="1:21">
      <c r="A418">
        <v>811</v>
      </c>
      <c r="B418" s="1">
        <v>45815</v>
      </c>
      <c r="C418" t="s">
        <v>299</v>
      </c>
      <c r="D418" t="s">
        <v>298</v>
      </c>
      <c r="E418" t="s">
        <v>76</v>
      </c>
      <c r="F418" t="s">
        <v>77</v>
      </c>
      <c r="G418" t="s">
        <v>66</v>
      </c>
      <c r="H418" t="s">
        <v>51</v>
      </c>
      <c r="I418">
        <v>2</v>
      </c>
      <c r="J418">
        <v>3333.12</v>
      </c>
      <c r="K418">
        <v>0.05</v>
      </c>
      <c r="L418">
        <v>6332.93</v>
      </c>
      <c r="M418">
        <v>4279.33</v>
      </c>
      <c r="N418">
        <v>2053.6</v>
      </c>
      <c r="O418" t="s">
        <v>27</v>
      </c>
      <c r="P418" t="s">
        <v>39</v>
      </c>
      <c r="Q418" t="s">
        <v>46</v>
      </c>
      <c r="R418" t="s">
        <v>510</v>
      </c>
      <c r="S418">
        <v>6</v>
      </c>
      <c r="T418" t="s">
        <v>379</v>
      </c>
      <c r="U418">
        <v>0.32427328266694877</v>
      </c>
    </row>
    <row r="419" spans="1:21">
      <c r="A419">
        <v>111</v>
      </c>
      <c r="B419" s="1">
        <v>45815</v>
      </c>
      <c r="C419" t="s">
        <v>517</v>
      </c>
      <c r="D419" t="s">
        <v>271</v>
      </c>
      <c r="E419" t="s">
        <v>54</v>
      </c>
      <c r="F419" t="s">
        <v>127</v>
      </c>
      <c r="G419" t="s">
        <v>44</v>
      </c>
      <c r="H419" t="s">
        <v>26</v>
      </c>
      <c r="I419">
        <v>1</v>
      </c>
      <c r="J419">
        <v>59775.54</v>
      </c>
      <c r="K419">
        <v>0.15</v>
      </c>
      <c r="L419">
        <v>50809.21</v>
      </c>
      <c r="M419">
        <v>42572.24</v>
      </c>
      <c r="N419">
        <v>8236.9699999999993</v>
      </c>
      <c r="O419" t="s">
        <v>38</v>
      </c>
      <c r="P419" t="s">
        <v>28</v>
      </c>
      <c r="Q419" t="s">
        <v>29</v>
      </c>
      <c r="R419" t="s">
        <v>510</v>
      </c>
      <c r="S419">
        <v>6</v>
      </c>
      <c r="T419" t="s">
        <v>379</v>
      </c>
      <c r="U419">
        <v>0.16211568729370127</v>
      </c>
    </row>
    <row r="420" spans="1:21">
      <c r="A420">
        <v>152</v>
      </c>
      <c r="B420" s="1">
        <v>45816</v>
      </c>
      <c r="C420" t="s">
        <v>518</v>
      </c>
      <c r="D420" t="s">
        <v>325</v>
      </c>
      <c r="E420" t="s">
        <v>97</v>
      </c>
      <c r="F420" t="s">
        <v>98</v>
      </c>
      <c r="G420" t="s">
        <v>25</v>
      </c>
      <c r="H420" t="s">
        <v>26</v>
      </c>
      <c r="I420">
        <v>2</v>
      </c>
      <c r="J420">
        <v>21893.39</v>
      </c>
      <c r="K420">
        <v>0</v>
      </c>
      <c r="L420">
        <v>43786.78</v>
      </c>
      <c r="M420">
        <v>28177.9</v>
      </c>
      <c r="N420">
        <v>15608.88</v>
      </c>
      <c r="O420" t="s">
        <v>27</v>
      </c>
      <c r="P420" t="s">
        <v>78</v>
      </c>
      <c r="Q420" t="s">
        <v>40</v>
      </c>
      <c r="R420" t="s">
        <v>510</v>
      </c>
      <c r="S420">
        <v>6</v>
      </c>
      <c r="T420" t="s">
        <v>379</v>
      </c>
      <c r="U420">
        <v>0.35647471679808379</v>
      </c>
    </row>
    <row r="421" spans="1:21">
      <c r="A421">
        <v>410</v>
      </c>
      <c r="B421" s="1">
        <v>45816</v>
      </c>
      <c r="C421" t="s">
        <v>519</v>
      </c>
      <c r="D421" t="s">
        <v>337</v>
      </c>
      <c r="E421" t="s">
        <v>54</v>
      </c>
      <c r="F421" t="s">
        <v>108</v>
      </c>
      <c r="G421" t="s">
        <v>66</v>
      </c>
      <c r="H421" t="s">
        <v>51</v>
      </c>
      <c r="I421">
        <v>4</v>
      </c>
      <c r="J421">
        <v>2055.77</v>
      </c>
      <c r="K421">
        <v>0.1</v>
      </c>
      <c r="L421">
        <v>7400.77</v>
      </c>
      <c r="M421">
        <v>7187.73</v>
      </c>
      <c r="N421">
        <v>213.04</v>
      </c>
      <c r="O421" t="s">
        <v>38</v>
      </c>
      <c r="P421" t="s">
        <v>39</v>
      </c>
      <c r="Q421" t="s">
        <v>46</v>
      </c>
      <c r="R421" t="s">
        <v>510</v>
      </c>
      <c r="S421">
        <v>6</v>
      </c>
      <c r="T421" t="s">
        <v>379</v>
      </c>
      <c r="U421">
        <v>2.8786193869016329E-2</v>
      </c>
    </row>
    <row r="422" spans="1:21">
      <c r="A422">
        <v>417</v>
      </c>
      <c r="B422" s="1">
        <v>45816</v>
      </c>
      <c r="C422" t="s">
        <v>164</v>
      </c>
      <c r="D422" t="s">
        <v>274</v>
      </c>
      <c r="E422" t="s">
        <v>54</v>
      </c>
      <c r="F422" t="s">
        <v>55</v>
      </c>
      <c r="G422" t="s">
        <v>62</v>
      </c>
      <c r="H422" t="s">
        <v>63</v>
      </c>
      <c r="I422">
        <v>1</v>
      </c>
      <c r="J422">
        <v>328.79</v>
      </c>
      <c r="K422">
        <v>0.1</v>
      </c>
      <c r="L422">
        <v>295.91000000000003</v>
      </c>
      <c r="M422">
        <v>265.76</v>
      </c>
      <c r="N422">
        <v>30.15</v>
      </c>
      <c r="O422" t="s">
        <v>27</v>
      </c>
      <c r="P422" t="s">
        <v>71</v>
      </c>
      <c r="Q422" t="s">
        <v>46</v>
      </c>
      <c r="R422" t="s">
        <v>510</v>
      </c>
      <c r="S422">
        <v>6</v>
      </c>
      <c r="T422" t="s">
        <v>379</v>
      </c>
      <c r="U422">
        <v>0.10188908789834746</v>
      </c>
    </row>
    <row r="423" spans="1:21">
      <c r="A423">
        <v>928</v>
      </c>
      <c r="B423" s="1">
        <v>45817</v>
      </c>
      <c r="C423" t="s">
        <v>368</v>
      </c>
      <c r="D423" t="s">
        <v>520</v>
      </c>
      <c r="E423" t="s">
        <v>54</v>
      </c>
      <c r="F423" t="s">
        <v>55</v>
      </c>
      <c r="G423" t="s">
        <v>134</v>
      </c>
      <c r="H423" t="s">
        <v>26</v>
      </c>
      <c r="I423">
        <v>3</v>
      </c>
      <c r="J423">
        <v>32715.97</v>
      </c>
      <c r="K423">
        <v>0</v>
      </c>
      <c r="L423">
        <v>98147.91</v>
      </c>
      <c r="M423">
        <v>83314.27</v>
      </c>
      <c r="N423">
        <v>14833.64</v>
      </c>
      <c r="O423" t="s">
        <v>38</v>
      </c>
      <c r="P423" t="s">
        <v>45</v>
      </c>
      <c r="Q423" t="s">
        <v>46</v>
      </c>
      <c r="R423" t="s">
        <v>510</v>
      </c>
      <c r="S423">
        <v>6</v>
      </c>
      <c r="T423" t="s">
        <v>379</v>
      </c>
      <c r="U423">
        <v>0.15113556671762035</v>
      </c>
    </row>
    <row r="424" spans="1:21">
      <c r="A424">
        <v>20</v>
      </c>
      <c r="B424" s="1">
        <v>45817</v>
      </c>
      <c r="C424" t="s">
        <v>521</v>
      </c>
      <c r="D424" t="s">
        <v>522</v>
      </c>
      <c r="E424" t="s">
        <v>54</v>
      </c>
      <c r="F424" t="s">
        <v>127</v>
      </c>
      <c r="G424" t="s">
        <v>134</v>
      </c>
      <c r="H424" t="s">
        <v>26</v>
      </c>
      <c r="I424">
        <v>3</v>
      </c>
      <c r="J424">
        <v>54861.39</v>
      </c>
      <c r="K424">
        <v>0.1</v>
      </c>
      <c r="L424">
        <v>148125.75</v>
      </c>
      <c r="M424">
        <v>125932.61</v>
      </c>
      <c r="N424">
        <v>22193.14</v>
      </c>
      <c r="O424" t="s">
        <v>38</v>
      </c>
      <c r="P424" t="s">
        <v>39</v>
      </c>
      <c r="Q424" t="s">
        <v>46</v>
      </c>
      <c r="R424" t="s">
        <v>510</v>
      </c>
      <c r="S424">
        <v>6</v>
      </c>
      <c r="T424" t="s">
        <v>379</v>
      </c>
      <c r="U424">
        <v>0.14982634687081753</v>
      </c>
    </row>
    <row r="425" spans="1:21">
      <c r="A425">
        <v>147</v>
      </c>
      <c r="B425" s="1">
        <v>45818</v>
      </c>
      <c r="C425" t="s">
        <v>523</v>
      </c>
      <c r="D425" t="s">
        <v>420</v>
      </c>
      <c r="E425" t="s">
        <v>76</v>
      </c>
      <c r="F425" t="s">
        <v>113</v>
      </c>
      <c r="G425" t="s">
        <v>59</v>
      </c>
      <c r="H425" t="s">
        <v>37</v>
      </c>
      <c r="I425">
        <v>2</v>
      </c>
      <c r="J425">
        <v>7921.12</v>
      </c>
      <c r="K425">
        <v>0.15</v>
      </c>
      <c r="L425">
        <v>13465.9</v>
      </c>
      <c r="M425">
        <v>10186.950000000001</v>
      </c>
      <c r="N425">
        <v>3278.95</v>
      </c>
      <c r="O425" t="s">
        <v>27</v>
      </c>
      <c r="P425" t="s">
        <v>45</v>
      </c>
      <c r="Q425" t="s">
        <v>29</v>
      </c>
      <c r="R425" t="s">
        <v>510</v>
      </c>
      <c r="S425">
        <v>6</v>
      </c>
      <c r="T425" t="s">
        <v>379</v>
      </c>
      <c r="U425">
        <v>0.24350024877653925</v>
      </c>
    </row>
    <row r="426" spans="1:21">
      <c r="A426">
        <v>425</v>
      </c>
      <c r="B426" s="1">
        <v>45818</v>
      </c>
      <c r="C426" t="s">
        <v>233</v>
      </c>
      <c r="D426" t="s">
        <v>169</v>
      </c>
      <c r="E426" t="s">
        <v>97</v>
      </c>
      <c r="F426" t="s">
        <v>98</v>
      </c>
      <c r="G426" t="s">
        <v>134</v>
      </c>
      <c r="H426" t="s">
        <v>26</v>
      </c>
      <c r="I426">
        <v>3</v>
      </c>
      <c r="J426">
        <v>42882.77</v>
      </c>
      <c r="K426">
        <v>0.15</v>
      </c>
      <c r="L426">
        <v>109351.06</v>
      </c>
      <c r="M426">
        <v>102997.12</v>
      </c>
      <c r="N426">
        <v>6353.94</v>
      </c>
      <c r="O426" t="s">
        <v>38</v>
      </c>
      <c r="P426" t="s">
        <v>71</v>
      </c>
      <c r="Q426" t="s">
        <v>46</v>
      </c>
      <c r="R426" t="s">
        <v>510</v>
      </c>
      <c r="S426">
        <v>6</v>
      </c>
      <c r="T426" t="s">
        <v>379</v>
      </c>
      <c r="U426">
        <v>5.8105883930160349E-2</v>
      </c>
    </row>
    <row r="427" spans="1:21">
      <c r="A427">
        <v>539</v>
      </c>
      <c r="B427" s="1">
        <v>45818</v>
      </c>
      <c r="C427" t="s">
        <v>205</v>
      </c>
      <c r="D427" t="s">
        <v>248</v>
      </c>
      <c r="E427" t="s">
        <v>54</v>
      </c>
      <c r="F427" t="s">
        <v>127</v>
      </c>
      <c r="G427" t="s">
        <v>36</v>
      </c>
      <c r="H427" t="s">
        <v>37</v>
      </c>
      <c r="I427">
        <v>4</v>
      </c>
      <c r="J427">
        <v>9140.2199999999993</v>
      </c>
      <c r="K427">
        <v>0.05</v>
      </c>
      <c r="L427">
        <v>34732.839999999997</v>
      </c>
      <c r="M427">
        <v>30115.58</v>
      </c>
      <c r="N427">
        <v>4617.26</v>
      </c>
      <c r="O427" t="s">
        <v>27</v>
      </c>
      <c r="P427" t="s">
        <v>71</v>
      </c>
      <c r="Q427" t="s">
        <v>46</v>
      </c>
      <c r="R427" t="s">
        <v>510</v>
      </c>
      <c r="S427">
        <v>6</v>
      </c>
      <c r="T427" t="s">
        <v>379</v>
      </c>
      <c r="U427">
        <v>0.13293643710102601</v>
      </c>
    </row>
    <row r="428" spans="1:21">
      <c r="A428">
        <v>668</v>
      </c>
      <c r="B428" s="1">
        <v>45818</v>
      </c>
      <c r="C428" t="s">
        <v>524</v>
      </c>
      <c r="D428" t="s">
        <v>75</v>
      </c>
      <c r="E428" t="s">
        <v>54</v>
      </c>
      <c r="F428" t="s">
        <v>127</v>
      </c>
      <c r="G428" t="s">
        <v>145</v>
      </c>
      <c r="H428" t="s">
        <v>70</v>
      </c>
      <c r="I428">
        <v>1</v>
      </c>
      <c r="J428">
        <v>1156.99</v>
      </c>
      <c r="K428">
        <v>0.02</v>
      </c>
      <c r="L428">
        <v>1133.8499999999999</v>
      </c>
      <c r="M428">
        <v>886.43</v>
      </c>
      <c r="N428">
        <v>247.42</v>
      </c>
      <c r="O428" t="s">
        <v>27</v>
      </c>
      <c r="P428" t="s">
        <v>28</v>
      </c>
      <c r="Q428" t="s">
        <v>29</v>
      </c>
      <c r="R428" t="s">
        <v>510</v>
      </c>
      <c r="S428">
        <v>6</v>
      </c>
      <c r="T428" t="s">
        <v>379</v>
      </c>
      <c r="U428">
        <v>0.21821228557569344</v>
      </c>
    </row>
    <row r="429" spans="1:21">
      <c r="A429">
        <v>656</v>
      </c>
      <c r="B429" s="1">
        <v>45818</v>
      </c>
      <c r="C429" t="s">
        <v>525</v>
      </c>
      <c r="D429" t="s">
        <v>526</v>
      </c>
      <c r="E429" t="s">
        <v>23</v>
      </c>
      <c r="F429" t="s">
        <v>43</v>
      </c>
      <c r="G429" t="s">
        <v>59</v>
      </c>
      <c r="H429" t="s">
        <v>37</v>
      </c>
      <c r="I429">
        <v>1</v>
      </c>
      <c r="J429">
        <v>6872.04</v>
      </c>
      <c r="K429">
        <v>0.05</v>
      </c>
      <c r="L429">
        <v>6528.44</v>
      </c>
      <c r="M429">
        <v>5372.68</v>
      </c>
      <c r="N429">
        <v>1155.76</v>
      </c>
      <c r="O429" t="s">
        <v>27</v>
      </c>
      <c r="P429" t="s">
        <v>78</v>
      </c>
      <c r="Q429" t="s">
        <v>40</v>
      </c>
      <c r="R429" t="s">
        <v>510</v>
      </c>
      <c r="S429">
        <v>6</v>
      </c>
      <c r="T429" t="s">
        <v>379</v>
      </c>
      <c r="U429">
        <v>0.17703463614584802</v>
      </c>
    </row>
    <row r="430" spans="1:21">
      <c r="A430">
        <v>208</v>
      </c>
      <c r="B430" s="1">
        <v>45818</v>
      </c>
      <c r="C430" t="s">
        <v>527</v>
      </c>
      <c r="D430" t="s">
        <v>184</v>
      </c>
      <c r="E430" t="s">
        <v>97</v>
      </c>
      <c r="F430" t="s">
        <v>104</v>
      </c>
      <c r="G430" t="s">
        <v>105</v>
      </c>
      <c r="H430" t="s">
        <v>26</v>
      </c>
      <c r="I430">
        <v>2</v>
      </c>
      <c r="J430">
        <v>7809.64</v>
      </c>
      <c r="K430">
        <v>0</v>
      </c>
      <c r="L430">
        <v>15619.28</v>
      </c>
      <c r="M430">
        <v>10427.18</v>
      </c>
      <c r="N430">
        <v>5192.1000000000004</v>
      </c>
      <c r="O430" t="s">
        <v>27</v>
      </c>
      <c r="P430" t="s">
        <v>45</v>
      </c>
      <c r="Q430" t="s">
        <v>29</v>
      </c>
      <c r="R430" t="s">
        <v>510</v>
      </c>
      <c r="S430">
        <v>6</v>
      </c>
      <c r="T430" t="s">
        <v>379</v>
      </c>
      <c r="U430">
        <v>0.33241609088255031</v>
      </c>
    </row>
    <row r="431" spans="1:21">
      <c r="A431">
        <v>865</v>
      </c>
      <c r="B431" s="1">
        <v>45818</v>
      </c>
      <c r="C431" t="s">
        <v>299</v>
      </c>
      <c r="D431" t="s">
        <v>241</v>
      </c>
      <c r="E431" t="s">
        <v>76</v>
      </c>
      <c r="F431" t="s">
        <v>77</v>
      </c>
      <c r="G431" t="s">
        <v>50</v>
      </c>
      <c r="H431" t="s">
        <v>51</v>
      </c>
      <c r="I431">
        <v>1</v>
      </c>
      <c r="J431">
        <v>645.05999999999995</v>
      </c>
      <c r="K431">
        <v>0.1</v>
      </c>
      <c r="L431">
        <v>580.54999999999995</v>
      </c>
      <c r="M431">
        <v>471.48</v>
      </c>
      <c r="N431">
        <v>109.07</v>
      </c>
      <c r="O431" t="s">
        <v>27</v>
      </c>
      <c r="P431" t="s">
        <v>45</v>
      </c>
      <c r="Q431" t="s">
        <v>40</v>
      </c>
      <c r="R431" t="s">
        <v>510</v>
      </c>
      <c r="S431">
        <v>6</v>
      </c>
      <c r="T431" t="s">
        <v>379</v>
      </c>
      <c r="U431">
        <v>0.18787356816811646</v>
      </c>
    </row>
    <row r="432" spans="1:21">
      <c r="A432">
        <v>267</v>
      </c>
      <c r="B432" s="1">
        <v>45819</v>
      </c>
      <c r="C432" t="s">
        <v>304</v>
      </c>
      <c r="D432" t="s">
        <v>528</v>
      </c>
      <c r="E432" t="s">
        <v>76</v>
      </c>
      <c r="F432" t="s">
        <v>113</v>
      </c>
      <c r="G432" t="s">
        <v>62</v>
      </c>
      <c r="H432" t="s">
        <v>63</v>
      </c>
      <c r="I432">
        <v>1</v>
      </c>
      <c r="J432">
        <v>112.61</v>
      </c>
      <c r="K432">
        <v>0.05</v>
      </c>
      <c r="L432">
        <v>106.98</v>
      </c>
      <c r="M432">
        <v>77.73</v>
      </c>
      <c r="N432">
        <v>29.25</v>
      </c>
      <c r="O432" t="s">
        <v>38</v>
      </c>
      <c r="P432" t="s">
        <v>28</v>
      </c>
      <c r="Q432" t="s">
        <v>40</v>
      </c>
      <c r="R432" t="s">
        <v>510</v>
      </c>
      <c r="S432">
        <v>6</v>
      </c>
      <c r="T432" t="s">
        <v>379</v>
      </c>
      <c r="U432">
        <v>0.27341559169938306</v>
      </c>
    </row>
    <row r="433" spans="1:21">
      <c r="A433">
        <v>932</v>
      </c>
      <c r="B433" s="1">
        <v>45819</v>
      </c>
      <c r="C433" t="s">
        <v>529</v>
      </c>
      <c r="D433" t="s">
        <v>530</v>
      </c>
      <c r="E433" t="s">
        <v>54</v>
      </c>
      <c r="F433" t="s">
        <v>55</v>
      </c>
      <c r="G433" t="s">
        <v>66</v>
      </c>
      <c r="H433" t="s">
        <v>51</v>
      </c>
      <c r="I433">
        <v>1</v>
      </c>
      <c r="J433">
        <v>1447.2</v>
      </c>
      <c r="K433">
        <v>0</v>
      </c>
      <c r="L433">
        <v>1447.2</v>
      </c>
      <c r="M433">
        <v>987.6</v>
      </c>
      <c r="N433">
        <v>459.6</v>
      </c>
      <c r="O433" t="s">
        <v>27</v>
      </c>
      <c r="P433" t="s">
        <v>28</v>
      </c>
      <c r="Q433" t="s">
        <v>46</v>
      </c>
      <c r="R433" t="s">
        <v>510</v>
      </c>
      <c r="S433">
        <v>6</v>
      </c>
      <c r="T433" t="s">
        <v>379</v>
      </c>
      <c r="U433">
        <v>0.3175787728026534</v>
      </c>
    </row>
    <row r="434" spans="1:21">
      <c r="A434">
        <v>290</v>
      </c>
      <c r="B434" s="1">
        <v>45820</v>
      </c>
      <c r="C434" t="s">
        <v>531</v>
      </c>
      <c r="D434" t="s">
        <v>532</v>
      </c>
      <c r="E434" t="s">
        <v>97</v>
      </c>
      <c r="F434" t="s">
        <v>98</v>
      </c>
      <c r="G434" t="s">
        <v>59</v>
      </c>
      <c r="H434" t="s">
        <v>37</v>
      </c>
      <c r="I434">
        <v>2</v>
      </c>
      <c r="J434">
        <v>9832.41</v>
      </c>
      <c r="K434">
        <v>0.1</v>
      </c>
      <c r="L434">
        <v>17698.34</v>
      </c>
      <c r="M434">
        <v>16048.63</v>
      </c>
      <c r="N434">
        <v>1649.71</v>
      </c>
      <c r="O434" t="s">
        <v>38</v>
      </c>
      <c r="P434" t="s">
        <v>39</v>
      </c>
      <c r="Q434" t="s">
        <v>40</v>
      </c>
      <c r="R434" t="s">
        <v>510</v>
      </c>
      <c r="S434">
        <v>6</v>
      </c>
      <c r="T434" t="s">
        <v>379</v>
      </c>
      <c r="U434">
        <v>9.3212696783992174E-2</v>
      </c>
    </row>
    <row r="435" spans="1:21">
      <c r="A435">
        <v>8</v>
      </c>
      <c r="B435" s="1">
        <v>45820</v>
      </c>
      <c r="C435" t="s">
        <v>533</v>
      </c>
      <c r="D435" t="s">
        <v>94</v>
      </c>
      <c r="E435" t="s">
        <v>97</v>
      </c>
      <c r="F435" t="s">
        <v>98</v>
      </c>
      <c r="G435" t="s">
        <v>62</v>
      </c>
      <c r="H435" t="s">
        <v>63</v>
      </c>
      <c r="I435">
        <v>4</v>
      </c>
      <c r="J435">
        <v>173.92</v>
      </c>
      <c r="K435">
        <v>0.05</v>
      </c>
      <c r="L435">
        <v>660.9</v>
      </c>
      <c r="M435">
        <v>467.29</v>
      </c>
      <c r="N435">
        <v>193.61</v>
      </c>
      <c r="O435" t="s">
        <v>27</v>
      </c>
      <c r="P435" t="s">
        <v>45</v>
      </c>
      <c r="Q435" t="s">
        <v>29</v>
      </c>
      <c r="R435" t="s">
        <v>510</v>
      </c>
      <c r="S435">
        <v>6</v>
      </c>
      <c r="T435" t="s">
        <v>379</v>
      </c>
      <c r="U435">
        <v>0.29294900892722048</v>
      </c>
    </row>
    <row r="436" spans="1:21">
      <c r="A436">
        <v>727</v>
      </c>
      <c r="B436" s="1">
        <v>45820</v>
      </c>
      <c r="C436" t="s">
        <v>138</v>
      </c>
      <c r="D436" t="s">
        <v>464</v>
      </c>
      <c r="E436" t="s">
        <v>34</v>
      </c>
      <c r="F436" t="s">
        <v>35</v>
      </c>
      <c r="G436" t="s">
        <v>105</v>
      </c>
      <c r="H436" t="s">
        <v>26</v>
      </c>
      <c r="I436">
        <v>4</v>
      </c>
      <c r="J436">
        <v>2101.5</v>
      </c>
      <c r="K436">
        <v>0.1</v>
      </c>
      <c r="L436">
        <v>7565.4</v>
      </c>
      <c r="M436">
        <v>5313.14</v>
      </c>
      <c r="N436">
        <v>2252.2600000000002</v>
      </c>
      <c r="O436" t="s">
        <v>27</v>
      </c>
      <c r="P436" t="s">
        <v>71</v>
      </c>
      <c r="Q436" t="s">
        <v>29</v>
      </c>
      <c r="R436" t="s">
        <v>510</v>
      </c>
      <c r="S436">
        <v>6</v>
      </c>
      <c r="T436" t="s">
        <v>379</v>
      </c>
      <c r="U436">
        <v>0.29770534274460048</v>
      </c>
    </row>
    <row r="437" spans="1:21">
      <c r="A437">
        <v>348</v>
      </c>
      <c r="B437" s="1">
        <v>45820</v>
      </c>
      <c r="C437" t="s">
        <v>203</v>
      </c>
      <c r="D437" t="s">
        <v>534</v>
      </c>
      <c r="E437" t="s">
        <v>76</v>
      </c>
      <c r="F437" t="s">
        <v>81</v>
      </c>
      <c r="G437" t="s">
        <v>50</v>
      </c>
      <c r="H437" t="s">
        <v>51</v>
      </c>
      <c r="I437">
        <v>1</v>
      </c>
      <c r="J437">
        <v>1268</v>
      </c>
      <c r="K437">
        <v>0.05</v>
      </c>
      <c r="L437">
        <v>1204.5999999999999</v>
      </c>
      <c r="M437">
        <v>1115.06</v>
      </c>
      <c r="N437">
        <v>89.54</v>
      </c>
      <c r="O437" t="s">
        <v>38</v>
      </c>
      <c r="P437" t="s">
        <v>28</v>
      </c>
      <c r="Q437" t="s">
        <v>46</v>
      </c>
      <c r="R437" t="s">
        <v>510</v>
      </c>
      <c r="S437">
        <v>6</v>
      </c>
      <c r="T437" t="s">
        <v>379</v>
      </c>
      <c r="U437">
        <v>7.4331728374564185E-2</v>
      </c>
    </row>
    <row r="438" spans="1:21">
      <c r="A438">
        <v>90</v>
      </c>
      <c r="B438" s="1">
        <v>45823</v>
      </c>
      <c r="C438" t="s">
        <v>508</v>
      </c>
      <c r="D438" t="s">
        <v>381</v>
      </c>
      <c r="E438" t="s">
        <v>23</v>
      </c>
      <c r="F438" t="s">
        <v>43</v>
      </c>
      <c r="G438" t="s">
        <v>134</v>
      </c>
      <c r="H438" t="s">
        <v>26</v>
      </c>
      <c r="I438">
        <v>2</v>
      </c>
      <c r="J438">
        <v>37402.44</v>
      </c>
      <c r="K438">
        <v>0</v>
      </c>
      <c r="L438">
        <v>74804.88</v>
      </c>
      <c r="M438">
        <v>54173.57</v>
      </c>
      <c r="N438">
        <v>20631.310000000001</v>
      </c>
      <c r="O438" t="s">
        <v>38</v>
      </c>
      <c r="P438" t="s">
        <v>39</v>
      </c>
      <c r="Q438" t="s">
        <v>40</v>
      </c>
      <c r="R438" t="s">
        <v>510</v>
      </c>
      <c r="S438">
        <v>6</v>
      </c>
      <c r="T438" t="s">
        <v>379</v>
      </c>
      <c r="U438">
        <v>0.27580165892920355</v>
      </c>
    </row>
    <row r="439" spans="1:21">
      <c r="A439">
        <v>802</v>
      </c>
      <c r="B439" s="1">
        <v>45823</v>
      </c>
      <c r="C439" t="s">
        <v>307</v>
      </c>
      <c r="D439" t="s">
        <v>428</v>
      </c>
      <c r="E439" t="s">
        <v>34</v>
      </c>
      <c r="F439" t="s">
        <v>35</v>
      </c>
      <c r="G439" t="s">
        <v>134</v>
      </c>
      <c r="H439" t="s">
        <v>26</v>
      </c>
      <c r="I439">
        <v>3</v>
      </c>
      <c r="J439">
        <v>34122.17</v>
      </c>
      <c r="K439">
        <v>0.1</v>
      </c>
      <c r="L439">
        <v>92129.86</v>
      </c>
      <c r="M439">
        <v>73810.8</v>
      </c>
      <c r="N439">
        <v>18319.060000000001</v>
      </c>
      <c r="O439" t="s">
        <v>27</v>
      </c>
      <c r="P439" t="s">
        <v>78</v>
      </c>
      <c r="Q439" t="s">
        <v>46</v>
      </c>
      <c r="R439" t="s">
        <v>510</v>
      </c>
      <c r="S439">
        <v>6</v>
      </c>
      <c r="T439" t="s">
        <v>379</v>
      </c>
      <c r="U439">
        <v>0.19883955104240905</v>
      </c>
    </row>
    <row r="440" spans="1:21">
      <c r="A440">
        <v>548</v>
      </c>
      <c r="B440" s="1">
        <v>45824</v>
      </c>
      <c r="C440" t="s">
        <v>185</v>
      </c>
      <c r="D440" t="s">
        <v>157</v>
      </c>
      <c r="E440" t="s">
        <v>23</v>
      </c>
      <c r="F440" t="s">
        <v>43</v>
      </c>
      <c r="G440" t="s">
        <v>59</v>
      </c>
      <c r="H440" t="s">
        <v>37</v>
      </c>
      <c r="I440">
        <v>1</v>
      </c>
      <c r="J440">
        <v>11644.22</v>
      </c>
      <c r="K440">
        <v>0.05</v>
      </c>
      <c r="L440">
        <v>11062.01</v>
      </c>
      <c r="M440">
        <v>9359.7199999999993</v>
      </c>
      <c r="N440">
        <v>1702.29</v>
      </c>
      <c r="O440" t="s">
        <v>27</v>
      </c>
      <c r="P440" t="s">
        <v>45</v>
      </c>
      <c r="Q440" t="s">
        <v>46</v>
      </c>
      <c r="R440" t="s">
        <v>510</v>
      </c>
      <c r="S440">
        <v>6</v>
      </c>
      <c r="T440" t="s">
        <v>379</v>
      </c>
      <c r="U440">
        <v>0.1538861382334675</v>
      </c>
    </row>
    <row r="441" spans="1:21">
      <c r="A441">
        <v>715</v>
      </c>
      <c r="B441" s="1">
        <v>45825</v>
      </c>
      <c r="C441" t="s">
        <v>193</v>
      </c>
      <c r="D441" t="s">
        <v>535</v>
      </c>
      <c r="E441" t="s">
        <v>23</v>
      </c>
      <c r="F441" t="s">
        <v>58</v>
      </c>
      <c r="G441" t="s">
        <v>145</v>
      </c>
      <c r="H441" t="s">
        <v>70</v>
      </c>
      <c r="I441">
        <v>1</v>
      </c>
      <c r="J441">
        <v>1758.03</v>
      </c>
      <c r="K441">
        <v>0.05</v>
      </c>
      <c r="L441">
        <v>1670.13</v>
      </c>
      <c r="M441">
        <v>1452.29</v>
      </c>
      <c r="N441">
        <v>217.84</v>
      </c>
      <c r="O441" t="s">
        <v>38</v>
      </c>
      <c r="P441" t="s">
        <v>78</v>
      </c>
      <c r="Q441" t="s">
        <v>40</v>
      </c>
      <c r="R441" t="s">
        <v>510</v>
      </c>
      <c r="S441">
        <v>6</v>
      </c>
      <c r="T441" t="s">
        <v>379</v>
      </c>
      <c r="U441">
        <v>0.13043296030847898</v>
      </c>
    </row>
    <row r="442" spans="1:21">
      <c r="A442">
        <v>212</v>
      </c>
      <c r="B442" s="1">
        <v>45825</v>
      </c>
      <c r="C442" t="s">
        <v>208</v>
      </c>
      <c r="D442" t="s">
        <v>369</v>
      </c>
      <c r="E442" t="s">
        <v>54</v>
      </c>
      <c r="F442" t="s">
        <v>108</v>
      </c>
      <c r="G442" t="s">
        <v>36</v>
      </c>
      <c r="H442" t="s">
        <v>37</v>
      </c>
      <c r="I442">
        <v>4</v>
      </c>
      <c r="J442">
        <v>5515.05</v>
      </c>
      <c r="K442">
        <v>0.1</v>
      </c>
      <c r="L442">
        <v>19854.18</v>
      </c>
      <c r="M442">
        <v>18670.66</v>
      </c>
      <c r="N442">
        <v>1183.52</v>
      </c>
      <c r="O442" t="s">
        <v>27</v>
      </c>
      <c r="P442" t="s">
        <v>28</v>
      </c>
      <c r="Q442" t="s">
        <v>46</v>
      </c>
      <c r="R442" t="s">
        <v>510</v>
      </c>
      <c r="S442">
        <v>6</v>
      </c>
      <c r="T442" t="s">
        <v>379</v>
      </c>
      <c r="U442">
        <v>5.9610621037987969E-2</v>
      </c>
    </row>
    <row r="443" spans="1:21">
      <c r="A443">
        <v>523</v>
      </c>
      <c r="B443" s="1">
        <v>45826</v>
      </c>
      <c r="C443" t="s">
        <v>414</v>
      </c>
      <c r="D443" t="s">
        <v>458</v>
      </c>
      <c r="E443" t="s">
        <v>54</v>
      </c>
      <c r="F443" t="s">
        <v>127</v>
      </c>
      <c r="G443" t="s">
        <v>69</v>
      </c>
      <c r="H443" t="s">
        <v>70</v>
      </c>
      <c r="I443">
        <v>1</v>
      </c>
      <c r="J443">
        <v>2250.8200000000002</v>
      </c>
      <c r="K443">
        <v>0.02</v>
      </c>
      <c r="L443">
        <v>2205.8000000000002</v>
      </c>
      <c r="M443">
        <v>1816.41</v>
      </c>
      <c r="N443">
        <v>389.39</v>
      </c>
      <c r="O443" t="s">
        <v>38</v>
      </c>
      <c r="P443" t="s">
        <v>45</v>
      </c>
      <c r="Q443" t="s">
        <v>46</v>
      </c>
      <c r="R443" t="s">
        <v>510</v>
      </c>
      <c r="S443">
        <v>6</v>
      </c>
      <c r="T443" t="s">
        <v>379</v>
      </c>
      <c r="U443">
        <v>0.17653005712213254</v>
      </c>
    </row>
    <row r="444" spans="1:21">
      <c r="A444">
        <v>700</v>
      </c>
      <c r="B444" s="1">
        <v>45826</v>
      </c>
      <c r="C444" t="s">
        <v>525</v>
      </c>
      <c r="D444" t="s">
        <v>536</v>
      </c>
      <c r="E444" t="s">
        <v>54</v>
      </c>
      <c r="F444" t="s">
        <v>55</v>
      </c>
      <c r="G444" t="s">
        <v>25</v>
      </c>
      <c r="H444" t="s">
        <v>26</v>
      </c>
      <c r="I444">
        <v>1</v>
      </c>
      <c r="J444">
        <v>8874.42</v>
      </c>
      <c r="K444">
        <v>0.1</v>
      </c>
      <c r="L444">
        <v>7986.98</v>
      </c>
      <c r="M444">
        <v>6111.22</v>
      </c>
      <c r="N444">
        <v>1875.76</v>
      </c>
      <c r="O444" t="s">
        <v>27</v>
      </c>
      <c r="P444" t="s">
        <v>45</v>
      </c>
      <c r="Q444" t="s">
        <v>46</v>
      </c>
      <c r="R444" t="s">
        <v>510</v>
      </c>
      <c r="S444">
        <v>6</v>
      </c>
      <c r="T444" t="s">
        <v>379</v>
      </c>
      <c r="U444">
        <v>0.23485222199129083</v>
      </c>
    </row>
    <row r="445" spans="1:21">
      <c r="A445">
        <v>209</v>
      </c>
      <c r="B445" s="1">
        <v>45826</v>
      </c>
      <c r="C445" t="s">
        <v>329</v>
      </c>
      <c r="D445" t="s">
        <v>483</v>
      </c>
      <c r="E445" t="s">
        <v>97</v>
      </c>
      <c r="F445" t="s">
        <v>98</v>
      </c>
      <c r="G445" t="s">
        <v>36</v>
      </c>
      <c r="H445" t="s">
        <v>37</v>
      </c>
      <c r="I445">
        <v>1</v>
      </c>
      <c r="J445">
        <v>5377.23</v>
      </c>
      <c r="K445">
        <v>0.1</v>
      </c>
      <c r="L445">
        <v>4839.51</v>
      </c>
      <c r="M445">
        <v>4344.43</v>
      </c>
      <c r="N445">
        <v>495.08</v>
      </c>
      <c r="O445" t="s">
        <v>38</v>
      </c>
      <c r="P445" t="s">
        <v>45</v>
      </c>
      <c r="Q445" t="s">
        <v>40</v>
      </c>
      <c r="R445" t="s">
        <v>510</v>
      </c>
      <c r="S445">
        <v>6</v>
      </c>
      <c r="T445" t="s">
        <v>379</v>
      </c>
      <c r="U445">
        <v>0.10229961297734687</v>
      </c>
    </row>
    <row r="446" spans="1:21">
      <c r="A446">
        <v>900</v>
      </c>
      <c r="B446" s="1">
        <v>45827</v>
      </c>
      <c r="C446" t="s">
        <v>537</v>
      </c>
      <c r="D446" t="s">
        <v>461</v>
      </c>
      <c r="E446" t="s">
        <v>34</v>
      </c>
      <c r="F446" t="s">
        <v>49</v>
      </c>
      <c r="G446" t="s">
        <v>25</v>
      </c>
      <c r="H446" t="s">
        <v>26</v>
      </c>
      <c r="I446">
        <v>2</v>
      </c>
      <c r="J446">
        <v>7322.67</v>
      </c>
      <c r="K446">
        <v>0.02</v>
      </c>
      <c r="L446">
        <v>14352.43</v>
      </c>
      <c r="M446">
        <v>9786.1200000000008</v>
      </c>
      <c r="N446">
        <v>4566.3100000000004</v>
      </c>
      <c r="O446" t="s">
        <v>38</v>
      </c>
      <c r="P446" t="s">
        <v>71</v>
      </c>
      <c r="Q446" t="s">
        <v>40</v>
      </c>
      <c r="R446" t="s">
        <v>510</v>
      </c>
      <c r="S446">
        <v>6</v>
      </c>
      <c r="T446" t="s">
        <v>379</v>
      </c>
      <c r="U446">
        <v>0.31815588022376701</v>
      </c>
    </row>
    <row r="447" spans="1:21">
      <c r="A447">
        <v>352</v>
      </c>
      <c r="B447" s="1">
        <v>45827</v>
      </c>
      <c r="C447" t="s">
        <v>368</v>
      </c>
      <c r="D447" t="s">
        <v>407</v>
      </c>
      <c r="E447" t="s">
        <v>23</v>
      </c>
      <c r="F447" t="s">
        <v>58</v>
      </c>
      <c r="G447" t="s">
        <v>105</v>
      </c>
      <c r="H447" t="s">
        <v>26</v>
      </c>
      <c r="I447">
        <v>1</v>
      </c>
      <c r="J447">
        <v>4212.8</v>
      </c>
      <c r="K447">
        <v>0.1</v>
      </c>
      <c r="L447">
        <v>3791.52</v>
      </c>
      <c r="M447">
        <v>3555.06</v>
      </c>
      <c r="N447">
        <v>236.46</v>
      </c>
      <c r="O447" t="s">
        <v>38</v>
      </c>
      <c r="P447" t="s">
        <v>39</v>
      </c>
      <c r="Q447" t="s">
        <v>29</v>
      </c>
      <c r="R447" t="s">
        <v>510</v>
      </c>
      <c r="S447">
        <v>6</v>
      </c>
      <c r="T447" t="s">
        <v>379</v>
      </c>
      <c r="U447">
        <v>6.2365489302443351E-2</v>
      </c>
    </row>
    <row r="448" spans="1:21">
      <c r="A448">
        <v>597</v>
      </c>
      <c r="B448" s="1">
        <v>45827</v>
      </c>
      <c r="C448" t="s">
        <v>454</v>
      </c>
      <c r="D448" t="s">
        <v>169</v>
      </c>
      <c r="E448" t="s">
        <v>23</v>
      </c>
      <c r="F448" t="s">
        <v>43</v>
      </c>
      <c r="G448" t="s">
        <v>50</v>
      </c>
      <c r="H448" t="s">
        <v>51</v>
      </c>
      <c r="I448">
        <v>1</v>
      </c>
      <c r="J448">
        <v>323.97000000000003</v>
      </c>
      <c r="K448">
        <v>0.05</v>
      </c>
      <c r="L448">
        <v>307.77</v>
      </c>
      <c r="M448">
        <v>239.22</v>
      </c>
      <c r="N448">
        <v>68.55</v>
      </c>
      <c r="O448" t="s">
        <v>38</v>
      </c>
      <c r="P448" t="s">
        <v>28</v>
      </c>
      <c r="Q448" t="s">
        <v>46</v>
      </c>
      <c r="R448" t="s">
        <v>510</v>
      </c>
      <c r="S448">
        <v>6</v>
      </c>
      <c r="T448" t="s">
        <v>379</v>
      </c>
      <c r="U448">
        <v>0.22273126035675991</v>
      </c>
    </row>
    <row r="449" spans="1:21">
      <c r="A449">
        <v>744</v>
      </c>
      <c r="B449" s="1">
        <v>45827</v>
      </c>
      <c r="C449" t="s">
        <v>138</v>
      </c>
      <c r="D449" t="s">
        <v>513</v>
      </c>
      <c r="E449" t="s">
        <v>23</v>
      </c>
      <c r="F449" t="s">
        <v>43</v>
      </c>
      <c r="G449" t="s">
        <v>25</v>
      </c>
      <c r="H449" t="s">
        <v>26</v>
      </c>
      <c r="I449">
        <v>1</v>
      </c>
      <c r="J449">
        <v>13680.3</v>
      </c>
      <c r="K449">
        <v>0.02</v>
      </c>
      <c r="L449">
        <v>13406.69</v>
      </c>
      <c r="M449">
        <v>9020.5</v>
      </c>
      <c r="N449">
        <v>4386.1899999999996</v>
      </c>
      <c r="O449" t="s">
        <v>38</v>
      </c>
      <c r="P449" t="s">
        <v>78</v>
      </c>
      <c r="Q449" t="s">
        <v>40</v>
      </c>
      <c r="R449" t="s">
        <v>510</v>
      </c>
      <c r="S449">
        <v>6</v>
      </c>
      <c r="T449" t="s">
        <v>379</v>
      </c>
      <c r="U449">
        <v>0.32716427395576381</v>
      </c>
    </row>
    <row r="450" spans="1:21">
      <c r="A450">
        <v>845</v>
      </c>
      <c r="B450" s="1">
        <v>45827</v>
      </c>
      <c r="C450" t="s">
        <v>185</v>
      </c>
      <c r="D450" t="s">
        <v>136</v>
      </c>
      <c r="E450" t="s">
        <v>54</v>
      </c>
      <c r="F450" t="s">
        <v>108</v>
      </c>
      <c r="G450" t="s">
        <v>145</v>
      </c>
      <c r="H450" t="s">
        <v>70</v>
      </c>
      <c r="I450">
        <v>4</v>
      </c>
      <c r="J450">
        <v>2188.36</v>
      </c>
      <c r="K450">
        <v>0.05</v>
      </c>
      <c r="L450">
        <v>8315.77</v>
      </c>
      <c r="M450">
        <v>6584.51</v>
      </c>
      <c r="N450">
        <v>1731.26</v>
      </c>
      <c r="O450" t="s">
        <v>38</v>
      </c>
      <c r="P450" t="s">
        <v>45</v>
      </c>
      <c r="Q450" t="s">
        <v>40</v>
      </c>
      <c r="R450" t="s">
        <v>510</v>
      </c>
      <c r="S450">
        <v>6</v>
      </c>
      <c r="T450" t="s">
        <v>379</v>
      </c>
      <c r="U450">
        <v>0.20818998120438637</v>
      </c>
    </row>
    <row r="451" spans="1:21">
      <c r="A451">
        <v>754</v>
      </c>
      <c r="B451" s="1">
        <v>45828</v>
      </c>
      <c r="C451" t="s">
        <v>119</v>
      </c>
      <c r="D451" t="s">
        <v>532</v>
      </c>
      <c r="E451" t="s">
        <v>34</v>
      </c>
      <c r="F451" t="s">
        <v>35</v>
      </c>
      <c r="G451" t="s">
        <v>62</v>
      </c>
      <c r="H451" t="s">
        <v>63</v>
      </c>
      <c r="I451">
        <v>1</v>
      </c>
      <c r="J451">
        <v>245.16</v>
      </c>
      <c r="K451">
        <v>0.15</v>
      </c>
      <c r="L451">
        <v>208.39</v>
      </c>
      <c r="M451">
        <v>195.85</v>
      </c>
      <c r="N451">
        <v>12.54</v>
      </c>
      <c r="O451" t="s">
        <v>27</v>
      </c>
      <c r="P451" t="s">
        <v>45</v>
      </c>
      <c r="Q451" t="s">
        <v>46</v>
      </c>
      <c r="R451" t="s">
        <v>510</v>
      </c>
      <c r="S451">
        <v>6</v>
      </c>
      <c r="T451" t="s">
        <v>379</v>
      </c>
      <c r="U451">
        <v>6.0175632228033973E-2</v>
      </c>
    </row>
    <row r="452" spans="1:21">
      <c r="A452">
        <v>593</v>
      </c>
      <c r="B452" s="1">
        <v>45828</v>
      </c>
      <c r="C452" t="s">
        <v>419</v>
      </c>
      <c r="D452" t="s">
        <v>538</v>
      </c>
      <c r="E452" t="s">
        <v>34</v>
      </c>
      <c r="F452" t="s">
        <v>49</v>
      </c>
      <c r="G452" t="s">
        <v>69</v>
      </c>
      <c r="H452" t="s">
        <v>70</v>
      </c>
      <c r="I452">
        <v>2</v>
      </c>
      <c r="J452">
        <v>2003.89</v>
      </c>
      <c r="K452">
        <v>0.02</v>
      </c>
      <c r="L452">
        <v>3927.62</v>
      </c>
      <c r="M452">
        <v>3247.45</v>
      </c>
      <c r="N452">
        <v>680.17</v>
      </c>
      <c r="O452" t="s">
        <v>38</v>
      </c>
      <c r="P452" t="s">
        <v>39</v>
      </c>
      <c r="Q452" t="s">
        <v>29</v>
      </c>
      <c r="R452" t="s">
        <v>510</v>
      </c>
      <c r="S452">
        <v>6</v>
      </c>
      <c r="T452" t="s">
        <v>379</v>
      </c>
      <c r="U452">
        <v>0.17317612192625559</v>
      </c>
    </row>
    <row r="453" spans="1:21">
      <c r="A453">
        <v>897</v>
      </c>
      <c r="B453" s="1">
        <v>45829</v>
      </c>
      <c r="C453" t="s">
        <v>533</v>
      </c>
      <c r="D453" t="s">
        <v>226</v>
      </c>
      <c r="E453" t="s">
        <v>76</v>
      </c>
      <c r="F453" t="s">
        <v>113</v>
      </c>
      <c r="G453" t="s">
        <v>36</v>
      </c>
      <c r="H453" t="s">
        <v>37</v>
      </c>
      <c r="I453">
        <v>2</v>
      </c>
      <c r="J453">
        <v>5864.12</v>
      </c>
      <c r="K453">
        <v>0.05</v>
      </c>
      <c r="L453">
        <v>11141.83</v>
      </c>
      <c r="M453">
        <v>7382.87</v>
      </c>
      <c r="N453">
        <v>3758.96</v>
      </c>
      <c r="O453" t="s">
        <v>27</v>
      </c>
      <c r="P453" t="s">
        <v>78</v>
      </c>
      <c r="Q453" t="s">
        <v>29</v>
      </c>
      <c r="R453" t="s">
        <v>510</v>
      </c>
      <c r="S453">
        <v>6</v>
      </c>
      <c r="T453" t="s">
        <v>379</v>
      </c>
      <c r="U453">
        <v>0.33737366303381044</v>
      </c>
    </row>
    <row r="454" spans="1:21">
      <c r="A454">
        <v>973</v>
      </c>
      <c r="B454" s="1">
        <v>45829</v>
      </c>
      <c r="C454" t="s">
        <v>166</v>
      </c>
      <c r="D454" t="s">
        <v>539</v>
      </c>
      <c r="E454" t="s">
        <v>23</v>
      </c>
      <c r="F454" t="s">
        <v>43</v>
      </c>
      <c r="G454" t="s">
        <v>134</v>
      </c>
      <c r="H454" t="s">
        <v>26</v>
      </c>
      <c r="I454">
        <v>4</v>
      </c>
      <c r="J454">
        <v>50256.52</v>
      </c>
      <c r="K454">
        <v>0.02</v>
      </c>
      <c r="L454">
        <v>197005.56</v>
      </c>
      <c r="M454">
        <v>135426.4</v>
      </c>
      <c r="N454">
        <v>61579.16</v>
      </c>
      <c r="O454" t="s">
        <v>27</v>
      </c>
      <c r="P454" t="s">
        <v>45</v>
      </c>
      <c r="Q454" t="s">
        <v>46</v>
      </c>
      <c r="R454" t="s">
        <v>510</v>
      </c>
      <c r="S454">
        <v>6</v>
      </c>
      <c r="T454" t="s">
        <v>379</v>
      </c>
      <c r="U454">
        <v>0.31257574659314186</v>
      </c>
    </row>
    <row r="455" spans="1:21">
      <c r="A455">
        <v>936</v>
      </c>
      <c r="B455" s="1">
        <v>45831</v>
      </c>
      <c r="C455" t="s">
        <v>258</v>
      </c>
      <c r="D455" t="s">
        <v>509</v>
      </c>
      <c r="E455" t="s">
        <v>54</v>
      </c>
      <c r="F455" t="s">
        <v>127</v>
      </c>
      <c r="G455" t="s">
        <v>145</v>
      </c>
      <c r="H455" t="s">
        <v>70</v>
      </c>
      <c r="I455">
        <v>2</v>
      </c>
      <c r="J455">
        <v>658.59</v>
      </c>
      <c r="K455">
        <v>0.1</v>
      </c>
      <c r="L455">
        <v>1185.46</v>
      </c>
      <c r="M455">
        <v>869.06</v>
      </c>
      <c r="N455">
        <v>316.39999999999998</v>
      </c>
      <c r="O455" t="s">
        <v>38</v>
      </c>
      <c r="P455" t="s">
        <v>78</v>
      </c>
      <c r="Q455" t="s">
        <v>40</v>
      </c>
      <c r="R455" t="s">
        <v>510</v>
      </c>
      <c r="S455">
        <v>6</v>
      </c>
      <c r="T455" t="s">
        <v>379</v>
      </c>
      <c r="U455">
        <v>0.26690061242049495</v>
      </c>
    </row>
    <row r="456" spans="1:21">
      <c r="A456">
        <v>45</v>
      </c>
      <c r="B456" s="1">
        <v>45831</v>
      </c>
      <c r="C456" t="s">
        <v>205</v>
      </c>
      <c r="D456" t="s">
        <v>163</v>
      </c>
      <c r="E456" t="s">
        <v>54</v>
      </c>
      <c r="F456" t="s">
        <v>127</v>
      </c>
      <c r="G456" t="s">
        <v>66</v>
      </c>
      <c r="H456" t="s">
        <v>51</v>
      </c>
      <c r="I456">
        <v>1</v>
      </c>
      <c r="J456">
        <v>3076.11</v>
      </c>
      <c r="K456">
        <v>0.15</v>
      </c>
      <c r="L456">
        <v>2614.69</v>
      </c>
      <c r="M456">
        <v>2577.8000000000002</v>
      </c>
      <c r="N456">
        <v>36.89</v>
      </c>
      <c r="O456" t="s">
        <v>27</v>
      </c>
      <c r="P456" t="s">
        <v>28</v>
      </c>
      <c r="Q456" t="s">
        <v>40</v>
      </c>
      <c r="R456" t="s">
        <v>510</v>
      </c>
      <c r="S456">
        <v>6</v>
      </c>
      <c r="T456" t="s">
        <v>379</v>
      </c>
      <c r="U456">
        <v>1.4108747117249082E-2</v>
      </c>
    </row>
    <row r="457" spans="1:21">
      <c r="A457">
        <v>405</v>
      </c>
      <c r="B457" s="1">
        <v>45832</v>
      </c>
      <c r="C457" t="s">
        <v>343</v>
      </c>
      <c r="D457" t="s">
        <v>253</v>
      </c>
      <c r="E457" t="s">
        <v>54</v>
      </c>
      <c r="F457" t="s">
        <v>127</v>
      </c>
      <c r="G457" t="s">
        <v>36</v>
      </c>
      <c r="H457" t="s">
        <v>37</v>
      </c>
      <c r="I457">
        <v>2</v>
      </c>
      <c r="J457">
        <v>15164.78</v>
      </c>
      <c r="K457">
        <v>0.1</v>
      </c>
      <c r="L457">
        <v>27296.6</v>
      </c>
      <c r="M457">
        <v>19203.02</v>
      </c>
      <c r="N457">
        <v>8093.58</v>
      </c>
      <c r="O457" t="s">
        <v>27</v>
      </c>
      <c r="P457" t="s">
        <v>45</v>
      </c>
      <c r="Q457" t="s">
        <v>46</v>
      </c>
      <c r="R457" t="s">
        <v>510</v>
      </c>
      <c r="S457">
        <v>6</v>
      </c>
      <c r="T457" t="s">
        <v>379</v>
      </c>
      <c r="U457">
        <v>0.29650505923814691</v>
      </c>
    </row>
    <row r="458" spans="1:21">
      <c r="A458">
        <v>450</v>
      </c>
      <c r="B458" s="1">
        <v>45832</v>
      </c>
      <c r="C458" t="s">
        <v>343</v>
      </c>
      <c r="D458" t="s">
        <v>110</v>
      </c>
      <c r="E458" t="s">
        <v>97</v>
      </c>
      <c r="F458" t="s">
        <v>148</v>
      </c>
      <c r="G458" t="s">
        <v>134</v>
      </c>
      <c r="H458" t="s">
        <v>26</v>
      </c>
      <c r="I458">
        <v>1</v>
      </c>
      <c r="J458">
        <v>47508.02</v>
      </c>
      <c r="K458">
        <v>0.02</v>
      </c>
      <c r="L458">
        <v>46557.86</v>
      </c>
      <c r="M458">
        <v>36210.68</v>
      </c>
      <c r="N458">
        <v>10347.18</v>
      </c>
      <c r="O458" t="s">
        <v>38</v>
      </c>
      <c r="P458" t="s">
        <v>28</v>
      </c>
      <c r="Q458" t="s">
        <v>46</v>
      </c>
      <c r="R458" t="s">
        <v>510</v>
      </c>
      <c r="S458">
        <v>6</v>
      </c>
      <c r="T458" t="s">
        <v>379</v>
      </c>
      <c r="U458">
        <v>0.22224346222098695</v>
      </c>
    </row>
    <row r="459" spans="1:21">
      <c r="A459">
        <v>653</v>
      </c>
      <c r="B459" s="1">
        <v>45833</v>
      </c>
      <c r="C459" t="s">
        <v>132</v>
      </c>
      <c r="D459" t="s">
        <v>540</v>
      </c>
      <c r="E459" t="s">
        <v>97</v>
      </c>
      <c r="F459" t="s">
        <v>148</v>
      </c>
      <c r="G459" t="s">
        <v>62</v>
      </c>
      <c r="H459" t="s">
        <v>63</v>
      </c>
      <c r="I459">
        <v>4</v>
      </c>
      <c r="J459">
        <v>145.66999999999999</v>
      </c>
      <c r="K459">
        <v>0</v>
      </c>
      <c r="L459">
        <v>582.67999999999995</v>
      </c>
      <c r="M459">
        <v>380.29</v>
      </c>
      <c r="N459">
        <v>202.39</v>
      </c>
      <c r="O459" t="s">
        <v>27</v>
      </c>
      <c r="P459" t="s">
        <v>45</v>
      </c>
      <c r="Q459" t="s">
        <v>46</v>
      </c>
      <c r="R459" t="s">
        <v>510</v>
      </c>
      <c r="S459">
        <v>6</v>
      </c>
      <c r="T459" t="s">
        <v>379</v>
      </c>
      <c r="U459">
        <v>0.34734331022173404</v>
      </c>
    </row>
    <row r="460" spans="1:21">
      <c r="A460">
        <v>757</v>
      </c>
      <c r="B460" s="1">
        <v>45833</v>
      </c>
      <c r="C460" t="s">
        <v>444</v>
      </c>
      <c r="D460" t="s">
        <v>200</v>
      </c>
      <c r="E460" t="s">
        <v>97</v>
      </c>
      <c r="F460" t="s">
        <v>98</v>
      </c>
      <c r="G460" t="s">
        <v>66</v>
      </c>
      <c r="H460" t="s">
        <v>51</v>
      </c>
      <c r="I460">
        <v>1</v>
      </c>
      <c r="J460">
        <v>2915.86</v>
      </c>
      <c r="K460">
        <v>0.02</v>
      </c>
      <c r="L460">
        <v>2857.54</v>
      </c>
      <c r="M460">
        <v>2296.64</v>
      </c>
      <c r="N460">
        <v>560.9</v>
      </c>
      <c r="O460" t="s">
        <v>27</v>
      </c>
      <c r="P460" t="s">
        <v>71</v>
      </c>
      <c r="Q460" t="s">
        <v>29</v>
      </c>
      <c r="R460" t="s">
        <v>510</v>
      </c>
      <c r="S460">
        <v>6</v>
      </c>
      <c r="T460" t="s">
        <v>379</v>
      </c>
      <c r="U460">
        <v>0.19628771600747497</v>
      </c>
    </row>
    <row r="461" spans="1:21">
      <c r="A461">
        <v>840</v>
      </c>
      <c r="B461" s="1">
        <v>45833</v>
      </c>
      <c r="C461" t="s">
        <v>476</v>
      </c>
      <c r="D461" t="s">
        <v>447</v>
      </c>
      <c r="E461" t="s">
        <v>34</v>
      </c>
      <c r="F461" t="s">
        <v>86</v>
      </c>
      <c r="G461" t="s">
        <v>36</v>
      </c>
      <c r="H461" t="s">
        <v>37</v>
      </c>
      <c r="I461">
        <v>2</v>
      </c>
      <c r="J461">
        <v>5560.32</v>
      </c>
      <c r="K461">
        <v>0.05</v>
      </c>
      <c r="L461">
        <v>10564.61</v>
      </c>
      <c r="M461">
        <v>9087.6200000000008</v>
      </c>
      <c r="N461">
        <v>1476.99</v>
      </c>
      <c r="O461" t="s">
        <v>38</v>
      </c>
      <c r="P461" t="s">
        <v>45</v>
      </c>
      <c r="Q461" t="s">
        <v>46</v>
      </c>
      <c r="R461" t="s">
        <v>510</v>
      </c>
      <c r="S461">
        <v>6</v>
      </c>
      <c r="T461" t="s">
        <v>379</v>
      </c>
      <c r="U461">
        <v>0.13980544478215476</v>
      </c>
    </row>
    <row r="462" spans="1:21">
      <c r="A462">
        <v>581</v>
      </c>
      <c r="B462" s="1">
        <v>45833</v>
      </c>
      <c r="C462" t="s">
        <v>114</v>
      </c>
      <c r="D462" t="s">
        <v>326</v>
      </c>
      <c r="E462" t="s">
        <v>23</v>
      </c>
      <c r="F462" t="s">
        <v>43</v>
      </c>
      <c r="G462" t="s">
        <v>105</v>
      </c>
      <c r="H462" t="s">
        <v>26</v>
      </c>
      <c r="I462">
        <v>1</v>
      </c>
      <c r="J462">
        <v>2960.94</v>
      </c>
      <c r="K462">
        <v>0.02</v>
      </c>
      <c r="L462">
        <v>2901.72</v>
      </c>
      <c r="M462">
        <v>1987.19</v>
      </c>
      <c r="N462">
        <v>914.53</v>
      </c>
      <c r="O462" t="s">
        <v>38</v>
      </c>
      <c r="P462" t="s">
        <v>78</v>
      </c>
      <c r="Q462" t="s">
        <v>40</v>
      </c>
      <c r="R462" t="s">
        <v>510</v>
      </c>
      <c r="S462">
        <v>6</v>
      </c>
      <c r="T462" t="s">
        <v>379</v>
      </c>
      <c r="U462">
        <v>0.31516824504087232</v>
      </c>
    </row>
    <row r="463" spans="1:21">
      <c r="A463">
        <v>733</v>
      </c>
      <c r="B463" s="1">
        <v>45834</v>
      </c>
      <c r="C463" t="s">
        <v>237</v>
      </c>
      <c r="D463" t="s">
        <v>538</v>
      </c>
      <c r="E463" t="s">
        <v>34</v>
      </c>
      <c r="F463" t="s">
        <v>35</v>
      </c>
      <c r="G463" t="s">
        <v>36</v>
      </c>
      <c r="H463" t="s">
        <v>37</v>
      </c>
      <c r="I463">
        <v>4</v>
      </c>
      <c r="J463">
        <v>11631.27</v>
      </c>
      <c r="K463">
        <v>0.02</v>
      </c>
      <c r="L463">
        <v>45594.58</v>
      </c>
      <c r="M463">
        <v>29846.400000000001</v>
      </c>
      <c r="N463">
        <v>15748.18</v>
      </c>
      <c r="O463" t="s">
        <v>38</v>
      </c>
      <c r="P463" t="s">
        <v>39</v>
      </c>
      <c r="Q463" t="s">
        <v>46</v>
      </c>
      <c r="R463" t="s">
        <v>510</v>
      </c>
      <c r="S463">
        <v>6</v>
      </c>
      <c r="T463" t="s">
        <v>379</v>
      </c>
      <c r="U463">
        <v>0.34539587819429413</v>
      </c>
    </row>
    <row r="464" spans="1:21">
      <c r="A464">
        <v>671</v>
      </c>
      <c r="B464" s="1">
        <v>45834</v>
      </c>
      <c r="C464" t="s">
        <v>164</v>
      </c>
      <c r="D464" t="s">
        <v>541</v>
      </c>
      <c r="E464" t="s">
        <v>23</v>
      </c>
      <c r="F464" t="s">
        <v>43</v>
      </c>
      <c r="G464" t="s">
        <v>62</v>
      </c>
      <c r="H464" t="s">
        <v>63</v>
      </c>
      <c r="I464">
        <v>2</v>
      </c>
      <c r="J464">
        <v>160.63999999999999</v>
      </c>
      <c r="K464">
        <v>0.05</v>
      </c>
      <c r="L464">
        <v>305.22000000000003</v>
      </c>
      <c r="M464">
        <v>247.78</v>
      </c>
      <c r="N464">
        <v>57.44</v>
      </c>
      <c r="O464" t="s">
        <v>38</v>
      </c>
      <c r="P464" t="s">
        <v>28</v>
      </c>
      <c r="Q464" t="s">
        <v>40</v>
      </c>
      <c r="R464" t="s">
        <v>510</v>
      </c>
      <c r="S464">
        <v>6</v>
      </c>
      <c r="T464" t="s">
        <v>379</v>
      </c>
      <c r="U464">
        <v>0.18819212371404231</v>
      </c>
    </row>
    <row r="465" spans="1:21">
      <c r="A465">
        <v>42</v>
      </c>
      <c r="B465" s="1">
        <v>45834</v>
      </c>
      <c r="C465" t="s">
        <v>304</v>
      </c>
      <c r="D465" t="s">
        <v>522</v>
      </c>
      <c r="E465" t="s">
        <v>97</v>
      </c>
      <c r="F465" t="s">
        <v>98</v>
      </c>
      <c r="G465" t="s">
        <v>99</v>
      </c>
      <c r="H465" t="s">
        <v>26</v>
      </c>
      <c r="I465">
        <v>3</v>
      </c>
      <c r="J465">
        <v>26355.61</v>
      </c>
      <c r="K465">
        <v>0.15</v>
      </c>
      <c r="L465">
        <v>67206.81</v>
      </c>
      <c r="M465">
        <v>67431.039999999994</v>
      </c>
      <c r="N465">
        <v>-224.23</v>
      </c>
      <c r="O465" t="s">
        <v>38</v>
      </c>
      <c r="P465" t="s">
        <v>78</v>
      </c>
      <c r="Q465" t="s">
        <v>29</v>
      </c>
      <c r="R465" t="s">
        <v>510</v>
      </c>
      <c r="S465">
        <v>6</v>
      </c>
      <c r="T465" t="s">
        <v>379</v>
      </c>
      <c r="U465">
        <v>-3.3364178421799815E-3</v>
      </c>
    </row>
    <row r="466" spans="1:21">
      <c r="A466">
        <v>751</v>
      </c>
      <c r="B466" s="1">
        <v>45835</v>
      </c>
      <c r="C466" t="s">
        <v>542</v>
      </c>
      <c r="D466" t="s">
        <v>541</v>
      </c>
      <c r="E466" t="s">
        <v>97</v>
      </c>
      <c r="F466" t="s">
        <v>104</v>
      </c>
      <c r="G466" t="s">
        <v>145</v>
      </c>
      <c r="H466" t="s">
        <v>70</v>
      </c>
      <c r="I466">
        <v>1</v>
      </c>
      <c r="J466">
        <v>797.14</v>
      </c>
      <c r="K466">
        <v>0.15</v>
      </c>
      <c r="L466">
        <v>677.57</v>
      </c>
      <c r="M466">
        <v>610.53</v>
      </c>
      <c r="N466">
        <v>67.040000000000006</v>
      </c>
      <c r="O466" t="s">
        <v>38</v>
      </c>
      <c r="P466" t="s">
        <v>28</v>
      </c>
      <c r="Q466" t="s">
        <v>40</v>
      </c>
      <c r="R466" t="s">
        <v>510</v>
      </c>
      <c r="S466">
        <v>6</v>
      </c>
      <c r="T466" t="s">
        <v>379</v>
      </c>
      <c r="U466">
        <v>9.8941806750594039E-2</v>
      </c>
    </row>
    <row r="467" spans="1:21">
      <c r="A467">
        <v>980</v>
      </c>
      <c r="B467" s="1">
        <v>45835</v>
      </c>
      <c r="C467" t="s">
        <v>95</v>
      </c>
      <c r="D467" t="s">
        <v>428</v>
      </c>
      <c r="E467" t="s">
        <v>34</v>
      </c>
      <c r="F467" t="s">
        <v>35</v>
      </c>
      <c r="G467" t="s">
        <v>59</v>
      </c>
      <c r="H467" t="s">
        <v>37</v>
      </c>
      <c r="I467">
        <v>2</v>
      </c>
      <c r="J467">
        <v>8582.24</v>
      </c>
      <c r="K467">
        <v>0.05</v>
      </c>
      <c r="L467">
        <v>16306.26</v>
      </c>
      <c r="M467">
        <v>14739.95</v>
      </c>
      <c r="N467">
        <v>1566.31</v>
      </c>
      <c r="O467" t="s">
        <v>27</v>
      </c>
      <c r="P467" t="s">
        <v>45</v>
      </c>
      <c r="Q467" t="s">
        <v>40</v>
      </c>
      <c r="R467" t="s">
        <v>510</v>
      </c>
      <c r="S467">
        <v>6</v>
      </c>
      <c r="T467" t="s">
        <v>379</v>
      </c>
      <c r="U467">
        <v>9.6055747915217829E-2</v>
      </c>
    </row>
    <row r="468" spans="1:21">
      <c r="A468">
        <v>473</v>
      </c>
      <c r="B468" s="1">
        <v>45835</v>
      </c>
      <c r="C468" t="s">
        <v>175</v>
      </c>
      <c r="D468" t="s">
        <v>223</v>
      </c>
      <c r="E468" t="s">
        <v>23</v>
      </c>
      <c r="F468" t="s">
        <v>24</v>
      </c>
      <c r="G468" t="s">
        <v>59</v>
      </c>
      <c r="H468" t="s">
        <v>37</v>
      </c>
      <c r="I468">
        <v>1</v>
      </c>
      <c r="J468">
        <v>9984.16</v>
      </c>
      <c r="K468">
        <v>0.05</v>
      </c>
      <c r="L468">
        <v>9484.9500000000007</v>
      </c>
      <c r="M468">
        <v>8361.48</v>
      </c>
      <c r="N468">
        <v>1123.47</v>
      </c>
      <c r="O468" t="s">
        <v>38</v>
      </c>
      <c r="P468" t="s">
        <v>39</v>
      </c>
      <c r="Q468" t="s">
        <v>46</v>
      </c>
      <c r="R468" t="s">
        <v>510</v>
      </c>
      <c r="S468">
        <v>6</v>
      </c>
      <c r="T468" t="s">
        <v>379</v>
      </c>
      <c r="U468">
        <v>0.1184476460076226</v>
      </c>
    </row>
    <row r="469" spans="1:21">
      <c r="A469">
        <v>844</v>
      </c>
      <c r="B469" s="1">
        <v>45835</v>
      </c>
      <c r="C469" t="s">
        <v>142</v>
      </c>
      <c r="D469" t="s">
        <v>230</v>
      </c>
      <c r="E469" t="s">
        <v>76</v>
      </c>
      <c r="F469" t="s">
        <v>113</v>
      </c>
      <c r="G469" t="s">
        <v>62</v>
      </c>
      <c r="H469" t="s">
        <v>63</v>
      </c>
      <c r="I469">
        <v>1</v>
      </c>
      <c r="J469">
        <v>349.26</v>
      </c>
      <c r="K469">
        <v>0.15</v>
      </c>
      <c r="L469">
        <v>296.87</v>
      </c>
      <c r="M469">
        <v>275.06</v>
      </c>
      <c r="N469">
        <v>21.81</v>
      </c>
      <c r="O469" t="s">
        <v>38</v>
      </c>
      <c r="P469" t="s">
        <v>71</v>
      </c>
      <c r="Q469" t="s">
        <v>29</v>
      </c>
      <c r="R469" t="s">
        <v>510</v>
      </c>
      <c r="S469">
        <v>6</v>
      </c>
      <c r="T469" t="s">
        <v>379</v>
      </c>
      <c r="U469">
        <v>7.3466500488429273E-2</v>
      </c>
    </row>
    <row r="470" spans="1:21">
      <c r="A470">
        <v>867</v>
      </c>
      <c r="B470" s="1">
        <v>45836</v>
      </c>
      <c r="C470" t="s">
        <v>262</v>
      </c>
      <c r="D470" t="s">
        <v>543</v>
      </c>
      <c r="E470" t="s">
        <v>76</v>
      </c>
      <c r="F470" t="s">
        <v>113</v>
      </c>
      <c r="G470" t="s">
        <v>25</v>
      </c>
      <c r="H470" t="s">
        <v>26</v>
      </c>
      <c r="I470">
        <v>1</v>
      </c>
      <c r="J470">
        <v>13734.27</v>
      </c>
      <c r="K470">
        <v>0.1</v>
      </c>
      <c r="L470">
        <v>12360.84</v>
      </c>
      <c r="M470">
        <v>9788.19</v>
      </c>
      <c r="N470">
        <v>2572.65</v>
      </c>
      <c r="O470" t="s">
        <v>38</v>
      </c>
      <c r="P470" t="s">
        <v>71</v>
      </c>
      <c r="Q470" t="s">
        <v>40</v>
      </c>
      <c r="R470" t="s">
        <v>510</v>
      </c>
      <c r="S470">
        <v>6</v>
      </c>
      <c r="T470" t="s">
        <v>379</v>
      </c>
      <c r="U470">
        <v>0.20812905919015212</v>
      </c>
    </row>
    <row r="471" spans="1:21">
      <c r="A471">
        <v>231</v>
      </c>
      <c r="B471" s="1">
        <v>45836</v>
      </c>
      <c r="C471" t="s">
        <v>508</v>
      </c>
      <c r="D471" t="s">
        <v>214</v>
      </c>
      <c r="E471" t="s">
        <v>34</v>
      </c>
      <c r="F471" t="s">
        <v>86</v>
      </c>
      <c r="G471" t="s">
        <v>145</v>
      </c>
      <c r="H471" t="s">
        <v>70</v>
      </c>
      <c r="I471">
        <v>1</v>
      </c>
      <c r="J471">
        <v>1532.05</v>
      </c>
      <c r="K471">
        <v>0.1</v>
      </c>
      <c r="L471">
        <v>1378.85</v>
      </c>
      <c r="M471">
        <v>1264.08</v>
      </c>
      <c r="N471">
        <v>114.77</v>
      </c>
      <c r="O471" t="s">
        <v>27</v>
      </c>
      <c r="P471" t="s">
        <v>78</v>
      </c>
      <c r="Q471" t="s">
        <v>29</v>
      </c>
      <c r="R471" t="s">
        <v>510</v>
      </c>
      <c r="S471">
        <v>6</v>
      </c>
      <c r="T471" t="s">
        <v>379</v>
      </c>
      <c r="U471">
        <v>8.3236030025020849E-2</v>
      </c>
    </row>
    <row r="472" spans="1:21">
      <c r="A472">
        <v>788</v>
      </c>
      <c r="B472" s="1">
        <v>45836</v>
      </c>
      <c r="C472" t="s">
        <v>544</v>
      </c>
      <c r="D472" t="s">
        <v>434</v>
      </c>
      <c r="E472" t="s">
        <v>23</v>
      </c>
      <c r="F472" t="s">
        <v>24</v>
      </c>
      <c r="G472" t="s">
        <v>36</v>
      </c>
      <c r="H472" t="s">
        <v>37</v>
      </c>
      <c r="I472">
        <v>2</v>
      </c>
      <c r="J472">
        <v>11245.06</v>
      </c>
      <c r="K472">
        <v>0.02</v>
      </c>
      <c r="L472">
        <v>22040.32</v>
      </c>
      <c r="M472">
        <v>18656.07</v>
      </c>
      <c r="N472">
        <v>3384.25</v>
      </c>
      <c r="O472" t="s">
        <v>27</v>
      </c>
      <c r="P472" t="s">
        <v>78</v>
      </c>
      <c r="Q472" t="s">
        <v>29</v>
      </c>
      <c r="R472" t="s">
        <v>510</v>
      </c>
      <c r="S472">
        <v>6</v>
      </c>
      <c r="T472" t="s">
        <v>379</v>
      </c>
      <c r="U472">
        <v>0.15354813360241593</v>
      </c>
    </row>
    <row r="473" spans="1:21">
      <c r="A473">
        <v>37</v>
      </c>
      <c r="B473" s="1">
        <v>45836</v>
      </c>
      <c r="C473" t="s">
        <v>498</v>
      </c>
      <c r="D473" t="s">
        <v>545</v>
      </c>
      <c r="E473" t="s">
        <v>54</v>
      </c>
      <c r="F473" t="s">
        <v>55</v>
      </c>
      <c r="G473" t="s">
        <v>99</v>
      </c>
      <c r="H473" t="s">
        <v>26</v>
      </c>
      <c r="I473">
        <v>1</v>
      </c>
      <c r="J473">
        <v>21084.959999999999</v>
      </c>
      <c r="K473">
        <v>0.05</v>
      </c>
      <c r="L473">
        <v>20030.71</v>
      </c>
      <c r="M473">
        <v>16599.240000000002</v>
      </c>
      <c r="N473">
        <v>3431.47</v>
      </c>
      <c r="O473" t="s">
        <v>38</v>
      </c>
      <c r="P473" t="s">
        <v>28</v>
      </c>
      <c r="Q473" t="s">
        <v>29</v>
      </c>
      <c r="R473" t="s">
        <v>510</v>
      </c>
      <c r="S473">
        <v>6</v>
      </c>
      <c r="T473" t="s">
        <v>379</v>
      </c>
      <c r="U473">
        <v>0.17131045279972601</v>
      </c>
    </row>
    <row r="474" spans="1:21">
      <c r="A474">
        <v>452</v>
      </c>
      <c r="B474" s="1">
        <v>45837</v>
      </c>
      <c r="C474" t="s">
        <v>160</v>
      </c>
      <c r="D474" t="s">
        <v>174</v>
      </c>
      <c r="E474" t="s">
        <v>54</v>
      </c>
      <c r="F474" t="s">
        <v>55</v>
      </c>
      <c r="G474" t="s">
        <v>62</v>
      </c>
      <c r="H474" t="s">
        <v>63</v>
      </c>
      <c r="I474">
        <v>1</v>
      </c>
      <c r="J474">
        <v>214.4</v>
      </c>
      <c r="K474">
        <v>0</v>
      </c>
      <c r="L474">
        <v>214.4</v>
      </c>
      <c r="M474">
        <v>179.34</v>
      </c>
      <c r="N474">
        <v>35.06</v>
      </c>
      <c r="O474" t="s">
        <v>38</v>
      </c>
      <c r="P474" t="s">
        <v>71</v>
      </c>
      <c r="Q474" t="s">
        <v>40</v>
      </c>
      <c r="R474" t="s">
        <v>510</v>
      </c>
      <c r="S474">
        <v>6</v>
      </c>
      <c r="T474" t="s">
        <v>379</v>
      </c>
      <c r="U474">
        <v>0.16352611940298509</v>
      </c>
    </row>
    <row r="475" spans="1:21">
      <c r="A475">
        <v>408</v>
      </c>
      <c r="B475" s="1">
        <v>45837</v>
      </c>
      <c r="C475" t="s">
        <v>546</v>
      </c>
      <c r="D475" t="s">
        <v>547</v>
      </c>
      <c r="E475" t="s">
        <v>76</v>
      </c>
      <c r="F475" t="s">
        <v>81</v>
      </c>
      <c r="G475" t="s">
        <v>59</v>
      </c>
      <c r="H475" t="s">
        <v>37</v>
      </c>
      <c r="I475">
        <v>1</v>
      </c>
      <c r="J475">
        <v>15437.07</v>
      </c>
      <c r="K475">
        <v>0.15</v>
      </c>
      <c r="L475">
        <v>13121.51</v>
      </c>
      <c r="M475">
        <v>10954.96</v>
      </c>
      <c r="N475">
        <v>2166.5500000000002</v>
      </c>
      <c r="O475" t="s">
        <v>27</v>
      </c>
      <c r="P475" t="s">
        <v>78</v>
      </c>
      <c r="Q475" t="s">
        <v>46</v>
      </c>
      <c r="R475" t="s">
        <v>510</v>
      </c>
      <c r="S475">
        <v>6</v>
      </c>
      <c r="T475" t="s">
        <v>379</v>
      </c>
      <c r="U475">
        <v>0.16511438089061398</v>
      </c>
    </row>
    <row r="476" spans="1:21">
      <c r="A476">
        <v>895</v>
      </c>
      <c r="B476" s="1">
        <v>45837</v>
      </c>
      <c r="C476" t="s">
        <v>370</v>
      </c>
      <c r="D476" t="s">
        <v>247</v>
      </c>
      <c r="E476" t="s">
        <v>76</v>
      </c>
      <c r="F476" t="s">
        <v>81</v>
      </c>
      <c r="G476" t="s">
        <v>66</v>
      </c>
      <c r="H476" t="s">
        <v>51</v>
      </c>
      <c r="I476">
        <v>1</v>
      </c>
      <c r="J476">
        <v>3229.11</v>
      </c>
      <c r="K476">
        <v>0.02</v>
      </c>
      <c r="L476">
        <v>3164.53</v>
      </c>
      <c r="M476">
        <v>2603.71</v>
      </c>
      <c r="N476">
        <v>560.82000000000005</v>
      </c>
      <c r="O476" t="s">
        <v>27</v>
      </c>
      <c r="P476" t="s">
        <v>45</v>
      </c>
      <c r="Q476" t="s">
        <v>46</v>
      </c>
      <c r="R476" t="s">
        <v>510</v>
      </c>
      <c r="S476">
        <v>6</v>
      </c>
      <c r="T476" t="s">
        <v>379</v>
      </c>
      <c r="U476">
        <v>0.17722062991976692</v>
      </c>
    </row>
    <row r="477" spans="1:21">
      <c r="A477">
        <v>960</v>
      </c>
      <c r="B477" s="1">
        <v>45837</v>
      </c>
      <c r="C477" t="s">
        <v>273</v>
      </c>
      <c r="D477" t="s">
        <v>381</v>
      </c>
      <c r="E477" t="s">
        <v>54</v>
      </c>
      <c r="F477" t="s">
        <v>127</v>
      </c>
      <c r="G477" t="s">
        <v>62</v>
      </c>
      <c r="H477" t="s">
        <v>63</v>
      </c>
      <c r="I477">
        <v>1</v>
      </c>
      <c r="J477">
        <v>390.58</v>
      </c>
      <c r="K477">
        <v>0.02</v>
      </c>
      <c r="L477">
        <v>382.77</v>
      </c>
      <c r="M477">
        <v>274.98</v>
      </c>
      <c r="N477">
        <v>107.79</v>
      </c>
      <c r="O477" t="s">
        <v>27</v>
      </c>
      <c r="P477" t="s">
        <v>39</v>
      </c>
      <c r="Q477" t="s">
        <v>29</v>
      </c>
      <c r="R477" t="s">
        <v>510</v>
      </c>
      <c r="S477">
        <v>6</v>
      </c>
      <c r="T477" t="s">
        <v>379</v>
      </c>
      <c r="U477">
        <v>0.28160514146876719</v>
      </c>
    </row>
    <row r="478" spans="1:21">
      <c r="A478">
        <v>493</v>
      </c>
      <c r="B478" s="1">
        <v>45837</v>
      </c>
      <c r="C478" t="s">
        <v>408</v>
      </c>
      <c r="D478" t="s">
        <v>80</v>
      </c>
      <c r="E478" t="s">
        <v>23</v>
      </c>
      <c r="F478" t="s">
        <v>24</v>
      </c>
      <c r="G478" t="s">
        <v>134</v>
      </c>
      <c r="H478" t="s">
        <v>26</v>
      </c>
      <c r="I478">
        <v>1</v>
      </c>
      <c r="J478">
        <v>52190.7</v>
      </c>
      <c r="K478">
        <v>0</v>
      </c>
      <c r="L478">
        <v>52190.7</v>
      </c>
      <c r="M478">
        <v>39982.49</v>
      </c>
      <c r="N478">
        <v>12208.21</v>
      </c>
      <c r="O478" t="s">
        <v>38</v>
      </c>
      <c r="P478" t="s">
        <v>45</v>
      </c>
      <c r="Q478" t="s">
        <v>46</v>
      </c>
      <c r="R478" t="s">
        <v>510</v>
      </c>
      <c r="S478">
        <v>6</v>
      </c>
      <c r="T478" t="s">
        <v>379</v>
      </c>
      <c r="U478">
        <v>0.23391542937726453</v>
      </c>
    </row>
    <row r="479" spans="1:21">
      <c r="A479">
        <v>583</v>
      </c>
      <c r="B479" s="1">
        <v>45837</v>
      </c>
      <c r="C479" t="s">
        <v>414</v>
      </c>
      <c r="D479" t="s">
        <v>365</v>
      </c>
      <c r="E479" t="s">
        <v>23</v>
      </c>
      <c r="F479" t="s">
        <v>58</v>
      </c>
      <c r="G479" t="s">
        <v>99</v>
      </c>
      <c r="H479" t="s">
        <v>26</v>
      </c>
      <c r="I479">
        <v>2</v>
      </c>
      <c r="J479">
        <v>26640.400000000001</v>
      </c>
      <c r="K479">
        <v>0.1</v>
      </c>
      <c r="L479">
        <v>47952.72</v>
      </c>
      <c r="M479">
        <v>34236.300000000003</v>
      </c>
      <c r="N479">
        <v>13716.42</v>
      </c>
      <c r="O479" t="s">
        <v>27</v>
      </c>
      <c r="P479" t="s">
        <v>45</v>
      </c>
      <c r="Q479" t="s">
        <v>29</v>
      </c>
      <c r="R479" t="s">
        <v>510</v>
      </c>
      <c r="S479">
        <v>6</v>
      </c>
      <c r="T479" t="s">
        <v>379</v>
      </c>
      <c r="U479">
        <v>0.286040499892394</v>
      </c>
    </row>
    <row r="480" spans="1:21">
      <c r="A480">
        <v>220</v>
      </c>
      <c r="B480" s="1">
        <v>45837</v>
      </c>
      <c r="C480" t="s">
        <v>21</v>
      </c>
      <c r="D480" t="s">
        <v>548</v>
      </c>
      <c r="E480" t="s">
        <v>34</v>
      </c>
      <c r="F480" t="s">
        <v>86</v>
      </c>
      <c r="G480" t="s">
        <v>62</v>
      </c>
      <c r="H480" t="s">
        <v>63</v>
      </c>
      <c r="I480">
        <v>3</v>
      </c>
      <c r="J480">
        <v>344.31</v>
      </c>
      <c r="K480">
        <v>0</v>
      </c>
      <c r="L480">
        <v>1032.93</v>
      </c>
      <c r="M480">
        <v>704.84</v>
      </c>
      <c r="N480">
        <v>328.09</v>
      </c>
      <c r="O480" t="s">
        <v>38</v>
      </c>
      <c r="P480" t="s">
        <v>45</v>
      </c>
      <c r="Q480" t="s">
        <v>40</v>
      </c>
      <c r="R480" t="s">
        <v>510</v>
      </c>
      <c r="S480">
        <v>6</v>
      </c>
      <c r="T480" t="s">
        <v>379</v>
      </c>
      <c r="U480">
        <v>0.31763042994200957</v>
      </c>
    </row>
    <row r="481" spans="1:21">
      <c r="A481">
        <v>938</v>
      </c>
      <c r="B481" s="1">
        <v>45839</v>
      </c>
      <c r="C481" t="s">
        <v>246</v>
      </c>
      <c r="D481" t="s">
        <v>545</v>
      </c>
      <c r="E481" t="s">
        <v>76</v>
      </c>
      <c r="F481" t="s">
        <v>77</v>
      </c>
      <c r="G481" t="s">
        <v>66</v>
      </c>
      <c r="H481" t="s">
        <v>51</v>
      </c>
      <c r="I481">
        <v>1</v>
      </c>
      <c r="J481">
        <v>2432.1</v>
      </c>
      <c r="K481">
        <v>0.15</v>
      </c>
      <c r="L481">
        <v>2067.2800000000002</v>
      </c>
      <c r="M481">
        <v>1676.34</v>
      </c>
      <c r="N481">
        <v>390.94</v>
      </c>
      <c r="O481" t="s">
        <v>38</v>
      </c>
      <c r="P481" t="s">
        <v>78</v>
      </c>
      <c r="Q481" t="s">
        <v>46</v>
      </c>
      <c r="R481" t="s">
        <v>549</v>
      </c>
      <c r="S481">
        <v>7</v>
      </c>
      <c r="T481" t="s">
        <v>550</v>
      </c>
      <c r="U481">
        <v>0.1891083936380171</v>
      </c>
    </row>
    <row r="482" spans="1:21">
      <c r="A482">
        <v>602</v>
      </c>
      <c r="B482" s="1">
        <v>45840</v>
      </c>
      <c r="C482" t="s">
        <v>301</v>
      </c>
      <c r="D482" t="s">
        <v>167</v>
      </c>
      <c r="E482" t="s">
        <v>23</v>
      </c>
      <c r="F482" t="s">
        <v>43</v>
      </c>
      <c r="G482" t="s">
        <v>59</v>
      </c>
      <c r="H482" t="s">
        <v>37</v>
      </c>
      <c r="I482">
        <v>1</v>
      </c>
      <c r="J482">
        <v>6942.67</v>
      </c>
      <c r="K482">
        <v>0.15</v>
      </c>
      <c r="L482">
        <v>5901.27</v>
      </c>
      <c r="M482">
        <v>5132.46</v>
      </c>
      <c r="N482">
        <v>768.81</v>
      </c>
      <c r="O482" t="s">
        <v>38</v>
      </c>
      <c r="P482" t="s">
        <v>78</v>
      </c>
      <c r="Q482" t="s">
        <v>40</v>
      </c>
      <c r="R482" t="s">
        <v>549</v>
      </c>
      <c r="S482">
        <v>7</v>
      </c>
      <c r="T482" t="s">
        <v>550</v>
      </c>
      <c r="U482">
        <v>0.13027873661093289</v>
      </c>
    </row>
    <row r="483" spans="1:21">
      <c r="A483">
        <v>181</v>
      </c>
      <c r="B483" s="1">
        <v>45840</v>
      </c>
      <c r="C483" t="s">
        <v>391</v>
      </c>
      <c r="D483" t="s">
        <v>551</v>
      </c>
      <c r="E483" t="s">
        <v>76</v>
      </c>
      <c r="F483" t="s">
        <v>113</v>
      </c>
      <c r="G483" t="s">
        <v>105</v>
      </c>
      <c r="H483" t="s">
        <v>26</v>
      </c>
      <c r="I483">
        <v>1</v>
      </c>
      <c r="J483">
        <v>3007.79</v>
      </c>
      <c r="K483">
        <v>0.15</v>
      </c>
      <c r="L483">
        <v>2556.62</v>
      </c>
      <c r="M483">
        <v>2525.14</v>
      </c>
      <c r="N483">
        <v>31.48</v>
      </c>
      <c r="O483" t="s">
        <v>27</v>
      </c>
      <c r="P483" t="s">
        <v>78</v>
      </c>
      <c r="Q483" t="s">
        <v>40</v>
      </c>
      <c r="R483" t="s">
        <v>549</v>
      </c>
      <c r="S483">
        <v>7</v>
      </c>
      <c r="T483" t="s">
        <v>550</v>
      </c>
      <c r="U483">
        <v>1.2313132182334489E-2</v>
      </c>
    </row>
    <row r="484" spans="1:21">
      <c r="A484">
        <v>506</v>
      </c>
      <c r="B484" s="1">
        <v>45840</v>
      </c>
      <c r="C484" t="s">
        <v>496</v>
      </c>
      <c r="D484" t="s">
        <v>182</v>
      </c>
      <c r="E484" t="s">
        <v>97</v>
      </c>
      <c r="F484" t="s">
        <v>148</v>
      </c>
      <c r="G484" t="s">
        <v>62</v>
      </c>
      <c r="H484" t="s">
        <v>63</v>
      </c>
      <c r="I484">
        <v>2</v>
      </c>
      <c r="J484">
        <v>316.20999999999998</v>
      </c>
      <c r="K484">
        <v>0.05</v>
      </c>
      <c r="L484">
        <v>600.79999999999995</v>
      </c>
      <c r="M484">
        <v>546.45000000000005</v>
      </c>
      <c r="N484">
        <v>54.35</v>
      </c>
      <c r="O484" t="s">
        <v>27</v>
      </c>
      <c r="P484" t="s">
        <v>78</v>
      </c>
      <c r="Q484" t="s">
        <v>40</v>
      </c>
      <c r="R484" t="s">
        <v>549</v>
      </c>
      <c r="S484">
        <v>7</v>
      </c>
      <c r="T484" t="s">
        <v>550</v>
      </c>
      <c r="U484">
        <v>9.0462716378162458E-2</v>
      </c>
    </row>
    <row r="485" spans="1:21">
      <c r="A485">
        <v>665</v>
      </c>
      <c r="B485" s="1">
        <v>45843</v>
      </c>
      <c r="C485" t="s">
        <v>336</v>
      </c>
      <c r="D485" t="s">
        <v>223</v>
      </c>
      <c r="E485" t="s">
        <v>23</v>
      </c>
      <c r="F485" t="s">
        <v>24</v>
      </c>
      <c r="G485" t="s">
        <v>50</v>
      </c>
      <c r="H485" t="s">
        <v>51</v>
      </c>
      <c r="I485">
        <v>4</v>
      </c>
      <c r="J485">
        <v>1365.93</v>
      </c>
      <c r="K485">
        <v>0.02</v>
      </c>
      <c r="L485">
        <v>5354.45</v>
      </c>
      <c r="M485">
        <v>4249.75</v>
      </c>
      <c r="N485">
        <v>1104.7</v>
      </c>
      <c r="O485" t="s">
        <v>38</v>
      </c>
      <c r="P485" t="s">
        <v>78</v>
      </c>
      <c r="Q485" t="s">
        <v>40</v>
      </c>
      <c r="R485" t="s">
        <v>549</v>
      </c>
      <c r="S485">
        <v>7</v>
      </c>
      <c r="T485" t="s">
        <v>550</v>
      </c>
      <c r="U485">
        <v>0.20631437402534342</v>
      </c>
    </row>
    <row r="486" spans="1:21">
      <c r="A486">
        <v>565</v>
      </c>
      <c r="B486" s="1">
        <v>45844</v>
      </c>
      <c r="C486" t="s">
        <v>267</v>
      </c>
      <c r="D486" t="s">
        <v>150</v>
      </c>
      <c r="E486" t="s">
        <v>34</v>
      </c>
      <c r="F486" t="s">
        <v>86</v>
      </c>
      <c r="G486" t="s">
        <v>50</v>
      </c>
      <c r="H486" t="s">
        <v>51</v>
      </c>
      <c r="I486">
        <v>4</v>
      </c>
      <c r="J486">
        <v>563.83000000000004</v>
      </c>
      <c r="K486">
        <v>0.02</v>
      </c>
      <c r="L486">
        <v>2210.21</v>
      </c>
      <c r="M486">
        <v>1925.7</v>
      </c>
      <c r="N486">
        <v>284.51</v>
      </c>
      <c r="O486" t="s">
        <v>38</v>
      </c>
      <c r="P486" t="s">
        <v>45</v>
      </c>
      <c r="Q486" t="s">
        <v>46</v>
      </c>
      <c r="R486" t="s">
        <v>549</v>
      </c>
      <c r="S486">
        <v>7</v>
      </c>
      <c r="T486" t="s">
        <v>550</v>
      </c>
      <c r="U486">
        <v>0.12872532474289772</v>
      </c>
    </row>
    <row r="487" spans="1:21">
      <c r="A487">
        <v>761</v>
      </c>
      <c r="B487" s="1">
        <v>45844</v>
      </c>
      <c r="C487" t="s">
        <v>492</v>
      </c>
      <c r="D487" t="s">
        <v>411</v>
      </c>
      <c r="E487" t="s">
        <v>97</v>
      </c>
      <c r="F487" t="s">
        <v>98</v>
      </c>
      <c r="G487" t="s">
        <v>99</v>
      </c>
      <c r="H487" t="s">
        <v>26</v>
      </c>
      <c r="I487">
        <v>1</v>
      </c>
      <c r="J487">
        <v>23015.73</v>
      </c>
      <c r="K487">
        <v>0</v>
      </c>
      <c r="L487">
        <v>23015.73</v>
      </c>
      <c r="M487">
        <v>19485.2</v>
      </c>
      <c r="N487">
        <v>3530.53</v>
      </c>
      <c r="O487" t="s">
        <v>38</v>
      </c>
      <c r="P487" t="s">
        <v>71</v>
      </c>
      <c r="Q487" t="s">
        <v>29</v>
      </c>
      <c r="R487" t="s">
        <v>549</v>
      </c>
      <c r="S487">
        <v>7</v>
      </c>
      <c r="T487" t="s">
        <v>550</v>
      </c>
      <c r="U487">
        <v>0.15339639455276893</v>
      </c>
    </row>
    <row r="488" spans="1:21">
      <c r="A488">
        <v>951</v>
      </c>
      <c r="B488" s="1">
        <v>45844</v>
      </c>
      <c r="C488" t="s">
        <v>360</v>
      </c>
      <c r="D488" t="s">
        <v>381</v>
      </c>
      <c r="E488" t="s">
        <v>34</v>
      </c>
      <c r="F488" t="s">
        <v>35</v>
      </c>
      <c r="G488" t="s">
        <v>59</v>
      </c>
      <c r="H488" t="s">
        <v>37</v>
      </c>
      <c r="I488">
        <v>2</v>
      </c>
      <c r="J488">
        <v>7621.52</v>
      </c>
      <c r="K488">
        <v>0.15</v>
      </c>
      <c r="L488">
        <v>12956.58</v>
      </c>
      <c r="M488">
        <v>12574.15</v>
      </c>
      <c r="N488">
        <v>382.43</v>
      </c>
      <c r="O488" t="s">
        <v>27</v>
      </c>
      <c r="P488" t="s">
        <v>28</v>
      </c>
      <c r="Q488" t="s">
        <v>40</v>
      </c>
      <c r="R488" t="s">
        <v>549</v>
      </c>
      <c r="S488">
        <v>7</v>
      </c>
      <c r="T488" t="s">
        <v>550</v>
      </c>
      <c r="U488">
        <v>2.9516276671776042E-2</v>
      </c>
    </row>
    <row r="489" spans="1:21">
      <c r="A489">
        <v>378</v>
      </c>
      <c r="B489" s="1">
        <v>45845</v>
      </c>
      <c r="C489" t="s">
        <v>197</v>
      </c>
      <c r="D489" t="s">
        <v>192</v>
      </c>
      <c r="E489" t="s">
        <v>23</v>
      </c>
      <c r="F489" t="s">
        <v>24</v>
      </c>
      <c r="G489" t="s">
        <v>99</v>
      </c>
      <c r="H489" t="s">
        <v>26</v>
      </c>
      <c r="I489">
        <v>1</v>
      </c>
      <c r="J489">
        <v>23240.39</v>
      </c>
      <c r="K489">
        <v>0</v>
      </c>
      <c r="L489">
        <v>23240.39</v>
      </c>
      <c r="M489">
        <v>16505.099999999999</v>
      </c>
      <c r="N489">
        <v>6735.29</v>
      </c>
      <c r="O489" t="s">
        <v>27</v>
      </c>
      <c r="P489" t="s">
        <v>39</v>
      </c>
      <c r="Q489" t="s">
        <v>40</v>
      </c>
      <c r="R489" t="s">
        <v>549</v>
      </c>
      <c r="S489">
        <v>7</v>
      </c>
      <c r="T489" t="s">
        <v>550</v>
      </c>
      <c r="U489">
        <v>0.28980968047438105</v>
      </c>
    </row>
    <row r="490" spans="1:21">
      <c r="A490">
        <v>584</v>
      </c>
      <c r="B490" s="1">
        <v>45845</v>
      </c>
      <c r="C490" t="s">
        <v>501</v>
      </c>
      <c r="D490" t="s">
        <v>154</v>
      </c>
      <c r="E490" t="s">
        <v>54</v>
      </c>
      <c r="F490" t="s">
        <v>55</v>
      </c>
      <c r="G490" t="s">
        <v>59</v>
      </c>
      <c r="H490" t="s">
        <v>37</v>
      </c>
      <c r="I490">
        <v>1</v>
      </c>
      <c r="J490">
        <v>6335.99</v>
      </c>
      <c r="K490">
        <v>0.15</v>
      </c>
      <c r="L490">
        <v>5385.59</v>
      </c>
      <c r="M490">
        <v>4638.3</v>
      </c>
      <c r="N490">
        <v>747.29</v>
      </c>
      <c r="O490" t="s">
        <v>38</v>
      </c>
      <c r="P490" t="s">
        <v>28</v>
      </c>
      <c r="Q490" t="s">
        <v>29</v>
      </c>
      <c r="R490" t="s">
        <v>549</v>
      </c>
      <c r="S490">
        <v>7</v>
      </c>
      <c r="T490" t="s">
        <v>550</v>
      </c>
      <c r="U490">
        <v>0.13875731349768547</v>
      </c>
    </row>
    <row r="491" spans="1:21">
      <c r="A491">
        <v>675</v>
      </c>
      <c r="B491" s="1">
        <v>45845</v>
      </c>
      <c r="C491" t="s">
        <v>552</v>
      </c>
      <c r="D491" t="s">
        <v>335</v>
      </c>
      <c r="E491" t="s">
        <v>97</v>
      </c>
      <c r="F491" t="s">
        <v>98</v>
      </c>
      <c r="G491" t="s">
        <v>134</v>
      </c>
      <c r="H491" t="s">
        <v>26</v>
      </c>
      <c r="I491">
        <v>1</v>
      </c>
      <c r="J491">
        <v>53070.95</v>
      </c>
      <c r="K491">
        <v>0.15</v>
      </c>
      <c r="L491">
        <v>45110.31</v>
      </c>
      <c r="M491">
        <v>34082.410000000003</v>
      </c>
      <c r="N491">
        <v>11027.9</v>
      </c>
      <c r="O491" t="s">
        <v>38</v>
      </c>
      <c r="P491" t="s">
        <v>39</v>
      </c>
      <c r="Q491" t="s">
        <v>46</v>
      </c>
      <c r="R491" t="s">
        <v>549</v>
      </c>
      <c r="S491">
        <v>7</v>
      </c>
      <c r="T491" t="s">
        <v>550</v>
      </c>
      <c r="U491">
        <v>0.24446517880280583</v>
      </c>
    </row>
    <row r="492" spans="1:21">
      <c r="A492">
        <v>259</v>
      </c>
      <c r="B492" s="1">
        <v>45845</v>
      </c>
      <c r="C492" t="s">
        <v>417</v>
      </c>
      <c r="D492" t="s">
        <v>344</v>
      </c>
      <c r="E492" t="s">
        <v>54</v>
      </c>
      <c r="F492" t="s">
        <v>127</v>
      </c>
      <c r="G492" t="s">
        <v>69</v>
      </c>
      <c r="H492" t="s">
        <v>70</v>
      </c>
      <c r="I492">
        <v>2</v>
      </c>
      <c r="J492">
        <v>2799.29</v>
      </c>
      <c r="K492">
        <v>0.15</v>
      </c>
      <c r="L492">
        <v>4758.79</v>
      </c>
      <c r="M492">
        <v>4567.83</v>
      </c>
      <c r="N492">
        <v>190.96</v>
      </c>
      <c r="O492" t="s">
        <v>38</v>
      </c>
      <c r="P492" t="s">
        <v>28</v>
      </c>
      <c r="Q492" t="s">
        <v>46</v>
      </c>
      <c r="R492" t="s">
        <v>549</v>
      </c>
      <c r="S492">
        <v>7</v>
      </c>
      <c r="T492" t="s">
        <v>550</v>
      </c>
      <c r="U492">
        <v>4.01278476251316E-2</v>
      </c>
    </row>
    <row r="493" spans="1:21">
      <c r="A493">
        <v>435</v>
      </c>
      <c r="B493" s="1">
        <v>45845</v>
      </c>
      <c r="C493" t="s">
        <v>553</v>
      </c>
      <c r="D493" t="s">
        <v>243</v>
      </c>
      <c r="E493" t="s">
        <v>76</v>
      </c>
      <c r="F493" t="s">
        <v>77</v>
      </c>
      <c r="G493" t="s">
        <v>145</v>
      </c>
      <c r="H493" t="s">
        <v>70</v>
      </c>
      <c r="I493">
        <v>1</v>
      </c>
      <c r="J493">
        <v>1975.89</v>
      </c>
      <c r="K493">
        <v>0</v>
      </c>
      <c r="L493">
        <v>1975.89</v>
      </c>
      <c r="M493">
        <v>1308.55</v>
      </c>
      <c r="N493">
        <v>667.34</v>
      </c>
      <c r="O493" t="s">
        <v>38</v>
      </c>
      <c r="P493" t="s">
        <v>45</v>
      </c>
      <c r="Q493" t="s">
        <v>29</v>
      </c>
      <c r="R493" t="s">
        <v>549</v>
      </c>
      <c r="S493">
        <v>7</v>
      </c>
      <c r="T493" t="s">
        <v>550</v>
      </c>
      <c r="U493">
        <v>0.33774147346259153</v>
      </c>
    </row>
    <row r="494" spans="1:21">
      <c r="A494">
        <v>281</v>
      </c>
      <c r="B494" s="1">
        <v>45845</v>
      </c>
      <c r="C494" t="s">
        <v>164</v>
      </c>
      <c r="D494" t="s">
        <v>554</v>
      </c>
      <c r="E494" t="s">
        <v>54</v>
      </c>
      <c r="F494" t="s">
        <v>55</v>
      </c>
      <c r="G494" t="s">
        <v>50</v>
      </c>
      <c r="H494" t="s">
        <v>51</v>
      </c>
      <c r="I494">
        <v>4</v>
      </c>
      <c r="J494">
        <v>1271.83</v>
      </c>
      <c r="K494">
        <v>0.1</v>
      </c>
      <c r="L494">
        <v>4578.59</v>
      </c>
      <c r="M494">
        <v>3600.34</v>
      </c>
      <c r="N494">
        <v>978.25</v>
      </c>
      <c r="O494" t="s">
        <v>38</v>
      </c>
      <c r="P494" t="s">
        <v>28</v>
      </c>
      <c r="Q494" t="s">
        <v>40</v>
      </c>
      <c r="R494" t="s">
        <v>549</v>
      </c>
      <c r="S494">
        <v>7</v>
      </c>
      <c r="T494" t="s">
        <v>550</v>
      </c>
      <c r="U494">
        <v>0.21365747970445048</v>
      </c>
    </row>
    <row r="495" spans="1:21">
      <c r="A495">
        <v>925</v>
      </c>
      <c r="B495" s="1">
        <v>45845</v>
      </c>
      <c r="C495" t="s">
        <v>164</v>
      </c>
      <c r="D495" t="s">
        <v>298</v>
      </c>
      <c r="E495" t="s">
        <v>76</v>
      </c>
      <c r="F495" t="s">
        <v>77</v>
      </c>
      <c r="G495" t="s">
        <v>66</v>
      </c>
      <c r="H495" t="s">
        <v>51</v>
      </c>
      <c r="I495">
        <v>4</v>
      </c>
      <c r="J495">
        <v>2725.63</v>
      </c>
      <c r="K495">
        <v>0.15</v>
      </c>
      <c r="L495">
        <v>9267.14</v>
      </c>
      <c r="M495">
        <v>9231.68</v>
      </c>
      <c r="N495">
        <v>35.46</v>
      </c>
      <c r="O495" t="s">
        <v>27</v>
      </c>
      <c r="P495" t="s">
        <v>78</v>
      </c>
      <c r="Q495" t="s">
        <v>40</v>
      </c>
      <c r="R495" t="s">
        <v>549</v>
      </c>
      <c r="S495">
        <v>7</v>
      </c>
      <c r="T495" t="s">
        <v>550</v>
      </c>
      <c r="U495">
        <v>3.8264232546395115E-3</v>
      </c>
    </row>
    <row r="496" spans="1:21">
      <c r="A496">
        <v>790</v>
      </c>
      <c r="B496" s="1">
        <v>45845</v>
      </c>
      <c r="C496" t="s">
        <v>164</v>
      </c>
      <c r="D496" t="s">
        <v>392</v>
      </c>
      <c r="E496" t="s">
        <v>34</v>
      </c>
      <c r="F496" t="s">
        <v>49</v>
      </c>
      <c r="G496" t="s">
        <v>134</v>
      </c>
      <c r="H496" t="s">
        <v>26</v>
      </c>
      <c r="I496">
        <v>4</v>
      </c>
      <c r="J496">
        <v>25268.33</v>
      </c>
      <c r="K496">
        <v>0.15</v>
      </c>
      <c r="L496">
        <v>85912.320000000007</v>
      </c>
      <c r="M496">
        <v>72954.69</v>
      </c>
      <c r="N496">
        <v>12957.63</v>
      </c>
      <c r="O496" t="s">
        <v>38</v>
      </c>
      <c r="P496" t="s">
        <v>45</v>
      </c>
      <c r="Q496" t="s">
        <v>40</v>
      </c>
      <c r="R496" t="s">
        <v>549</v>
      </c>
      <c r="S496">
        <v>7</v>
      </c>
      <c r="T496" t="s">
        <v>550</v>
      </c>
      <c r="U496">
        <v>0.15082388649264736</v>
      </c>
    </row>
    <row r="497" spans="1:21">
      <c r="A497">
        <v>525</v>
      </c>
      <c r="B497" s="1">
        <v>45846</v>
      </c>
      <c r="C497" t="s">
        <v>357</v>
      </c>
      <c r="D497" t="s">
        <v>488</v>
      </c>
      <c r="E497" t="s">
        <v>97</v>
      </c>
      <c r="F497" t="s">
        <v>104</v>
      </c>
      <c r="G497" t="s">
        <v>59</v>
      </c>
      <c r="H497" t="s">
        <v>37</v>
      </c>
      <c r="I497">
        <v>4</v>
      </c>
      <c r="J497">
        <v>7718.27</v>
      </c>
      <c r="K497">
        <v>0.05</v>
      </c>
      <c r="L497">
        <v>29329.43</v>
      </c>
      <c r="M497">
        <v>20775.080000000002</v>
      </c>
      <c r="N497">
        <v>8554.35</v>
      </c>
      <c r="O497" t="s">
        <v>27</v>
      </c>
      <c r="P497" t="s">
        <v>71</v>
      </c>
      <c r="Q497" t="s">
        <v>40</v>
      </c>
      <c r="R497" t="s">
        <v>549</v>
      </c>
      <c r="S497">
        <v>7</v>
      </c>
      <c r="T497" t="s">
        <v>550</v>
      </c>
      <c r="U497">
        <v>0.29166437943049012</v>
      </c>
    </row>
    <row r="498" spans="1:21">
      <c r="A498">
        <v>33</v>
      </c>
      <c r="B498" s="1">
        <v>45846</v>
      </c>
      <c r="C498" t="s">
        <v>382</v>
      </c>
      <c r="D498" t="s">
        <v>186</v>
      </c>
      <c r="E498" t="s">
        <v>34</v>
      </c>
      <c r="F498" t="s">
        <v>49</v>
      </c>
      <c r="G498" t="s">
        <v>145</v>
      </c>
      <c r="H498" t="s">
        <v>70</v>
      </c>
      <c r="I498">
        <v>2</v>
      </c>
      <c r="J498">
        <v>1714.81</v>
      </c>
      <c r="K498">
        <v>0.15</v>
      </c>
      <c r="L498">
        <v>2915.18</v>
      </c>
      <c r="M498">
        <v>2695.51</v>
      </c>
      <c r="N498">
        <v>219.67</v>
      </c>
      <c r="O498" t="s">
        <v>27</v>
      </c>
      <c r="P498" t="s">
        <v>71</v>
      </c>
      <c r="Q498" t="s">
        <v>46</v>
      </c>
      <c r="R498" t="s">
        <v>549</v>
      </c>
      <c r="S498">
        <v>7</v>
      </c>
      <c r="T498" t="s">
        <v>550</v>
      </c>
      <c r="U498">
        <v>7.5353837498885148E-2</v>
      </c>
    </row>
    <row r="499" spans="1:21">
      <c r="A499">
        <v>618</v>
      </c>
      <c r="B499" s="1">
        <v>45846</v>
      </c>
      <c r="C499" t="s">
        <v>511</v>
      </c>
      <c r="D499" t="s">
        <v>266</v>
      </c>
      <c r="E499" t="s">
        <v>76</v>
      </c>
      <c r="F499" t="s">
        <v>77</v>
      </c>
      <c r="G499" t="s">
        <v>59</v>
      </c>
      <c r="H499" t="s">
        <v>37</v>
      </c>
      <c r="I499">
        <v>1</v>
      </c>
      <c r="J499">
        <v>9401.9500000000007</v>
      </c>
      <c r="K499">
        <v>0.02</v>
      </c>
      <c r="L499">
        <v>9213.91</v>
      </c>
      <c r="M499">
        <v>7266.34</v>
      </c>
      <c r="N499">
        <v>1947.57</v>
      </c>
      <c r="O499" t="s">
        <v>38</v>
      </c>
      <c r="P499" t="s">
        <v>39</v>
      </c>
      <c r="Q499" t="s">
        <v>29</v>
      </c>
      <c r="R499" t="s">
        <v>549</v>
      </c>
      <c r="S499">
        <v>7</v>
      </c>
      <c r="T499" t="s">
        <v>550</v>
      </c>
      <c r="U499">
        <v>0.21137280481359161</v>
      </c>
    </row>
    <row r="500" spans="1:21">
      <c r="A500">
        <v>3</v>
      </c>
      <c r="B500" s="1">
        <v>45847</v>
      </c>
      <c r="C500" t="s">
        <v>452</v>
      </c>
      <c r="D500" t="s">
        <v>309</v>
      </c>
      <c r="E500" t="s">
        <v>97</v>
      </c>
      <c r="F500" t="s">
        <v>104</v>
      </c>
      <c r="G500" t="s">
        <v>50</v>
      </c>
      <c r="H500" t="s">
        <v>51</v>
      </c>
      <c r="I500">
        <v>2</v>
      </c>
      <c r="J500">
        <v>779.83</v>
      </c>
      <c r="K500">
        <v>0.1</v>
      </c>
      <c r="L500">
        <v>1403.69</v>
      </c>
      <c r="M500">
        <v>1115.55</v>
      </c>
      <c r="N500">
        <v>288.14</v>
      </c>
      <c r="O500" t="s">
        <v>27</v>
      </c>
      <c r="P500" t="s">
        <v>78</v>
      </c>
      <c r="Q500" t="s">
        <v>29</v>
      </c>
      <c r="R500" t="s">
        <v>549</v>
      </c>
      <c r="S500">
        <v>7</v>
      </c>
      <c r="T500" t="s">
        <v>550</v>
      </c>
      <c r="U500">
        <v>0.20527324409235656</v>
      </c>
    </row>
    <row r="501" spans="1:21">
      <c r="A501">
        <v>99</v>
      </c>
      <c r="B501" s="1">
        <v>45847</v>
      </c>
      <c r="C501" t="s">
        <v>116</v>
      </c>
      <c r="D501" t="s">
        <v>555</v>
      </c>
      <c r="E501" t="s">
        <v>54</v>
      </c>
      <c r="F501" t="s">
        <v>127</v>
      </c>
      <c r="G501" t="s">
        <v>25</v>
      </c>
      <c r="H501" t="s">
        <v>26</v>
      </c>
      <c r="I501">
        <v>1</v>
      </c>
      <c r="J501">
        <v>13908.38</v>
      </c>
      <c r="K501">
        <v>0.15</v>
      </c>
      <c r="L501">
        <v>11822.12</v>
      </c>
      <c r="M501">
        <v>11653.94</v>
      </c>
      <c r="N501">
        <v>168.18</v>
      </c>
      <c r="O501" t="s">
        <v>27</v>
      </c>
      <c r="P501" t="s">
        <v>45</v>
      </c>
      <c r="Q501" t="s">
        <v>40</v>
      </c>
      <c r="R501" t="s">
        <v>549</v>
      </c>
      <c r="S501">
        <v>7</v>
      </c>
      <c r="T501" t="s">
        <v>550</v>
      </c>
      <c r="U501">
        <v>1.4225874885384347E-2</v>
      </c>
    </row>
    <row r="502" spans="1:21">
      <c r="A502">
        <v>717</v>
      </c>
      <c r="B502" s="1">
        <v>45847</v>
      </c>
      <c r="C502" t="s">
        <v>466</v>
      </c>
      <c r="D502" t="s">
        <v>556</v>
      </c>
      <c r="E502" t="s">
        <v>54</v>
      </c>
      <c r="F502" t="s">
        <v>127</v>
      </c>
      <c r="G502" t="s">
        <v>62</v>
      </c>
      <c r="H502" t="s">
        <v>63</v>
      </c>
      <c r="I502">
        <v>1</v>
      </c>
      <c r="J502">
        <v>269.06</v>
      </c>
      <c r="K502">
        <v>0</v>
      </c>
      <c r="L502">
        <v>269.06</v>
      </c>
      <c r="M502">
        <v>177.35</v>
      </c>
      <c r="N502">
        <v>91.71</v>
      </c>
      <c r="O502" t="s">
        <v>27</v>
      </c>
      <c r="P502" t="s">
        <v>28</v>
      </c>
      <c r="Q502" t="s">
        <v>40</v>
      </c>
      <c r="R502" t="s">
        <v>549</v>
      </c>
      <c r="S502">
        <v>7</v>
      </c>
      <c r="T502" t="s">
        <v>550</v>
      </c>
      <c r="U502">
        <v>0.34085334126217198</v>
      </c>
    </row>
    <row r="503" spans="1:21">
      <c r="A503">
        <v>627</v>
      </c>
      <c r="B503" s="1">
        <v>45848</v>
      </c>
      <c r="C503" t="s">
        <v>414</v>
      </c>
      <c r="D503" t="s">
        <v>274</v>
      </c>
      <c r="E503" t="s">
        <v>34</v>
      </c>
      <c r="F503" t="s">
        <v>35</v>
      </c>
      <c r="G503" t="s">
        <v>134</v>
      </c>
      <c r="H503" t="s">
        <v>26</v>
      </c>
      <c r="I503">
        <v>1</v>
      </c>
      <c r="J503">
        <v>19016.41</v>
      </c>
      <c r="K503">
        <v>0.05</v>
      </c>
      <c r="L503">
        <v>18065.59</v>
      </c>
      <c r="M503">
        <v>16702.689999999999</v>
      </c>
      <c r="N503">
        <v>1362.9</v>
      </c>
      <c r="O503" t="s">
        <v>27</v>
      </c>
      <c r="P503" t="s">
        <v>78</v>
      </c>
      <c r="Q503" t="s">
        <v>46</v>
      </c>
      <c r="R503" t="s">
        <v>549</v>
      </c>
      <c r="S503">
        <v>7</v>
      </c>
      <c r="T503" t="s">
        <v>550</v>
      </c>
      <c r="U503">
        <v>7.5441765256490378E-2</v>
      </c>
    </row>
    <row r="504" spans="1:21">
      <c r="A504">
        <v>637</v>
      </c>
      <c r="B504" s="1">
        <v>45848</v>
      </c>
      <c r="C504" t="s">
        <v>246</v>
      </c>
      <c r="D504" t="s">
        <v>234</v>
      </c>
      <c r="E504" t="s">
        <v>54</v>
      </c>
      <c r="F504" t="s">
        <v>127</v>
      </c>
      <c r="G504" t="s">
        <v>105</v>
      </c>
      <c r="H504" t="s">
        <v>26</v>
      </c>
      <c r="I504">
        <v>4</v>
      </c>
      <c r="J504">
        <v>7264.74</v>
      </c>
      <c r="K504">
        <v>0.05</v>
      </c>
      <c r="L504">
        <v>27606.01</v>
      </c>
      <c r="M504">
        <v>18153.16</v>
      </c>
      <c r="N504">
        <v>9452.85</v>
      </c>
      <c r="O504" t="s">
        <v>27</v>
      </c>
      <c r="P504" t="s">
        <v>71</v>
      </c>
      <c r="Q504" t="s">
        <v>46</v>
      </c>
      <c r="R504" t="s">
        <v>549</v>
      </c>
      <c r="S504">
        <v>7</v>
      </c>
      <c r="T504" t="s">
        <v>550</v>
      </c>
      <c r="U504">
        <v>0.34242000202129902</v>
      </c>
    </row>
    <row r="505" spans="1:21">
      <c r="A505">
        <v>762</v>
      </c>
      <c r="B505" s="1">
        <v>45848</v>
      </c>
      <c r="C505" t="s">
        <v>557</v>
      </c>
      <c r="D505" t="s">
        <v>200</v>
      </c>
      <c r="E505" t="s">
        <v>34</v>
      </c>
      <c r="F505" t="s">
        <v>86</v>
      </c>
      <c r="G505" t="s">
        <v>36</v>
      </c>
      <c r="H505" t="s">
        <v>37</v>
      </c>
      <c r="I505">
        <v>1</v>
      </c>
      <c r="J505">
        <v>15537.01</v>
      </c>
      <c r="K505">
        <v>0.15</v>
      </c>
      <c r="L505">
        <v>13206.46</v>
      </c>
      <c r="M505">
        <v>12894.85</v>
      </c>
      <c r="N505">
        <v>311.61</v>
      </c>
      <c r="O505" t="s">
        <v>27</v>
      </c>
      <c r="P505" t="s">
        <v>78</v>
      </c>
      <c r="Q505" t="s">
        <v>40</v>
      </c>
      <c r="R505" t="s">
        <v>549</v>
      </c>
      <c r="S505">
        <v>7</v>
      </c>
      <c r="T505" t="s">
        <v>550</v>
      </c>
      <c r="U505">
        <v>2.3595270799290653E-2</v>
      </c>
    </row>
    <row r="506" spans="1:21">
      <c r="A506">
        <v>305</v>
      </c>
      <c r="B506" s="1">
        <v>45850</v>
      </c>
      <c r="C506" t="s">
        <v>558</v>
      </c>
      <c r="D506" t="s">
        <v>207</v>
      </c>
      <c r="E506" t="s">
        <v>54</v>
      </c>
      <c r="F506" t="s">
        <v>55</v>
      </c>
      <c r="G506" t="s">
        <v>105</v>
      </c>
      <c r="H506" t="s">
        <v>26</v>
      </c>
      <c r="I506">
        <v>1</v>
      </c>
      <c r="J506">
        <v>6002.11</v>
      </c>
      <c r="K506">
        <v>0</v>
      </c>
      <c r="L506">
        <v>6002.11</v>
      </c>
      <c r="M506">
        <v>4565.1499999999996</v>
      </c>
      <c r="N506">
        <v>1436.96</v>
      </c>
      <c r="O506" t="s">
        <v>27</v>
      </c>
      <c r="P506" t="s">
        <v>39</v>
      </c>
      <c r="Q506" t="s">
        <v>46</v>
      </c>
      <c r="R506" t="s">
        <v>549</v>
      </c>
      <c r="S506">
        <v>7</v>
      </c>
      <c r="T506" t="s">
        <v>550</v>
      </c>
      <c r="U506">
        <v>0.23940914111870662</v>
      </c>
    </row>
    <row r="507" spans="1:21">
      <c r="A507">
        <v>934</v>
      </c>
      <c r="B507" s="1">
        <v>45850</v>
      </c>
      <c r="C507" t="s">
        <v>515</v>
      </c>
      <c r="D507" t="s">
        <v>433</v>
      </c>
      <c r="E507" t="s">
        <v>76</v>
      </c>
      <c r="F507" t="s">
        <v>81</v>
      </c>
      <c r="G507" t="s">
        <v>69</v>
      </c>
      <c r="H507" t="s">
        <v>70</v>
      </c>
      <c r="I507">
        <v>1</v>
      </c>
      <c r="J507">
        <v>1426.02</v>
      </c>
      <c r="K507">
        <v>0.15</v>
      </c>
      <c r="L507">
        <v>1212.1199999999999</v>
      </c>
      <c r="M507">
        <v>886.27</v>
      </c>
      <c r="N507">
        <v>325.85000000000002</v>
      </c>
      <c r="O507" t="s">
        <v>27</v>
      </c>
      <c r="P507" t="s">
        <v>28</v>
      </c>
      <c r="Q507" t="s">
        <v>40</v>
      </c>
      <c r="R507" t="s">
        <v>549</v>
      </c>
      <c r="S507">
        <v>7</v>
      </c>
      <c r="T507" t="s">
        <v>550</v>
      </c>
      <c r="U507">
        <v>0.26882651882651887</v>
      </c>
    </row>
    <row r="508" spans="1:21">
      <c r="A508">
        <v>701</v>
      </c>
      <c r="B508" s="1">
        <v>45850</v>
      </c>
      <c r="C508" t="s">
        <v>508</v>
      </c>
      <c r="D508" t="s">
        <v>131</v>
      </c>
      <c r="E508" t="s">
        <v>97</v>
      </c>
      <c r="F508" t="s">
        <v>148</v>
      </c>
      <c r="G508" t="s">
        <v>145</v>
      </c>
      <c r="H508" t="s">
        <v>70</v>
      </c>
      <c r="I508">
        <v>1</v>
      </c>
      <c r="J508">
        <v>824.88</v>
      </c>
      <c r="K508">
        <v>0.1</v>
      </c>
      <c r="L508">
        <v>742.39</v>
      </c>
      <c r="M508">
        <v>517.80999999999995</v>
      </c>
      <c r="N508">
        <v>224.58</v>
      </c>
      <c r="O508" t="s">
        <v>38</v>
      </c>
      <c r="P508" t="s">
        <v>39</v>
      </c>
      <c r="Q508" t="s">
        <v>40</v>
      </c>
      <c r="R508" t="s">
        <v>549</v>
      </c>
      <c r="S508">
        <v>7</v>
      </c>
      <c r="T508" t="s">
        <v>550</v>
      </c>
      <c r="U508">
        <v>0.30250946268133999</v>
      </c>
    </row>
    <row r="509" spans="1:21">
      <c r="A509">
        <v>626</v>
      </c>
      <c r="B509" s="1">
        <v>45851</v>
      </c>
      <c r="C509" t="s">
        <v>342</v>
      </c>
      <c r="D509" t="s">
        <v>559</v>
      </c>
      <c r="E509" t="s">
        <v>34</v>
      </c>
      <c r="F509" t="s">
        <v>49</v>
      </c>
      <c r="G509" t="s">
        <v>59</v>
      </c>
      <c r="H509" t="s">
        <v>37</v>
      </c>
      <c r="I509">
        <v>1</v>
      </c>
      <c r="J509">
        <v>16043.04</v>
      </c>
      <c r="K509">
        <v>0.05</v>
      </c>
      <c r="L509">
        <v>15240.89</v>
      </c>
      <c r="M509">
        <v>11912.66</v>
      </c>
      <c r="N509">
        <v>3328.23</v>
      </c>
      <c r="O509" t="s">
        <v>38</v>
      </c>
      <c r="P509" t="s">
        <v>39</v>
      </c>
      <c r="Q509" t="s">
        <v>29</v>
      </c>
      <c r="R509" t="s">
        <v>549</v>
      </c>
      <c r="S509">
        <v>7</v>
      </c>
      <c r="T509" t="s">
        <v>550</v>
      </c>
      <c r="U509">
        <v>0.2183750424023794</v>
      </c>
    </row>
    <row r="510" spans="1:21">
      <c r="A510">
        <v>663</v>
      </c>
      <c r="B510" s="1">
        <v>45851</v>
      </c>
      <c r="C510" t="s">
        <v>64</v>
      </c>
      <c r="D510" t="s">
        <v>375</v>
      </c>
      <c r="E510" t="s">
        <v>34</v>
      </c>
      <c r="F510" t="s">
        <v>35</v>
      </c>
      <c r="G510" t="s">
        <v>25</v>
      </c>
      <c r="H510" t="s">
        <v>26</v>
      </c>
      <c r="I510">
        <v>4</v>
      </c>
      <c r="J510">
        <v>8491.08</v>
      </c>
      <c r="K510">
        <v>0.1</v>
      </c>
      <c r="L510">
        <v>30567.89</v>
      </c>
      <c r="M510">
        <v>22928.21</v>
      </c>
      <c r="N510">
        <v>7639.68</v>
      </c>
      <c r="O510" t="s">
        <v>38</v>
      </c>
      <c r="P510" t="s">
        <v>28</v>
      </c>
      <c r="Q510" t="s">
        <v>29</v>
      </c>
      <c r="R510" t="s">
        <v>549</v>
      </c>
      <c r="S510">
        <v>7</v>
      </c>
      <c r="T510" t="s">
        <v>550</v>
      </c>
      <c r="U510">
        <v>0.24992500300151566</v>
      </c>
    </row>
    <row r="511" spans="1:21">
      <c r="A511">
        <v>71</v>
      </c>
      <c r="B511" s="1">
        <v>45851</v>
      </c>
      <c r="C511" t="s">
        <v>560</v>
      </c>
      <c r="D511" t="s">
        <v>362</v>
      </c>
      <c r="E511" t="s">
        <v>54</v>
      </c>
      <c r="F511" t="s">
        <v>55</v>
      </c>
      <c r="G511" t="s">
        <v>145</v>
      </c>
      <c r="H511" t="s">
        <v>70</v>
      </c>
      <c r="I511">
        <v>3</v>
      </c>
      <c r="J511">
        <v>2157.61</v>
      </c>
      <c r="K511">
        <v>0.05</v>
      </c>
      <c r="L511">
        <v>6149.19</v>
      </c>
      <c r="M511">
        <v>5394.61</v>
      </c>
      <c r="N511">
        <v>754.58</v>
      </c>
      <c r="O511" t="s">
        <v>38</v>
      </c>
      <c r="P511" t="s">
        <v>71</v>
      </c>
      <c r="Q511" t="s">
        <v>29</v>
      </c>
      <c r="R511" t="s">
        <v>549</v>
      </c>
      <c r="S511">
        <v>7</v>
      </c>
      <c r="T511" t="s">
        <v>550</v>
      </c>
      <c r="U511">
        <v>0.12271209704042323</v>
      </c>
    </row>
    <row r="512" spans="1:21">
      <c r="A512">
        <v>939</v>
      </c>
      <c r="B512" s="1">
        <v>45852</v>
      </c>
      <c r="C512" t="s">
        <v>183</v>
      </c>
      <c r="D512" t="s">
        <v>118</v>
      </c>
      <c r="E512" t="s">
        <v>97</v>
      </c>
      <c r="F512" t="s">
        <v>98</v>
      </c>
      <c r="G512" t="s">
        <v>66</v>
      </c>
      <c r="H512" t="s">
        <v>51</v>
      </c>
      <c r="I512">
        <v>2</v>
      </c>
      <c r="J512">
        <v>1156.2</v>
      </c>
      <c r="K512">
        <v>0.1</v>
      </c>
      <c r="L512">
        <v>2081.16</v>
      </c>
      <c r="M512">
        <v>1568.08</v>
      </c>
      <c r="N512">
        <v>513.08000000000004</v>
      </c>
      <c r="O512" t="s">
        <v>27</v>
      </c>
      <c r="P512" t="s">
        <v>39</v>
      </c>
      <c r="Q512" t="s">
        <v>46</v>
      </c>
      <c r="R512" t="s">
        <v>549</v>
      </c>
      <c r="S512">
        <v>7</v>
      </c>
      <c r="T512" t="s">
        <v>550</v>
      </c>
      <c r="U512">
        <v>0.24653558592323516</v>
      </c>
    </row>
    <row r="513" spans="1:21">
      <c r="A513">
        <v>278</v>
      </c>
      <c r="B513" s="1">
        <v>45852</v>
      </c>
      <c r="C513" t="s">
        <v>249</v>
      </c>
      <c r="D513" t="s">
        <v>561</v>
      </c>
      <c r="E513" t="s">
        <v>97</v>
      </c>
      <c r="F513" t="s">
        <v>104</v>
      </c>
      <c r="G513" t="s">
        <v>25</v>
      </c>
      <c r="H513" t="s">
        <v>26</v>
      </c>
      <c r="I513">
        <v>2</v>
      </c>
      <c r="J513">
        <v>10658.31</v>
      </c>
      <c r="K513">
        <v>0.05</v>
      </c>
      <c r="L513">
        <v>20250.79</v>
      </c>
      <c r="M513">
        <v>14895.16</v>
      </c>
      <c r="N513">
        <v>5355.63</v>
      </c>
      <c r="O513" t="s">
        <v>27</v>
      </c>
      <c r="P513" t="s">
        <v>78</v>
      </c>
      <c r="Q513" t="s">
        <v>29</v>
      </c>
      <c r="R513" t="s">
        <v>549</v>
      </c>
      <c r="S513">
        <v>7</v>
      </c>
      <c r="T513" t="s">
        <v>550</v>
      </c>
      <c r="U513">
        <v>0.26446523814626488</v>
      </c>
    </row>
    <row r="514" spans="1:21">
      <c r="A514">
        <v>248</v>
      </c>
      <c r="B514" s="1">
        <v>45853</v>
      </c>
      <c r="C514" t="s">
        <v>537</v>
      </c>
      <c r="D514" t="s">
        <v>344</v>
      </c>
      <c r="E514" t="s">
        <v>34</v>
      </c>
      <c r="F514" t="s">
        <v>86</v>
      </c>
      <c r="G514" t="s">
        <v>69</v>
      </c>
      <c r="H514" t="s">
        <v>70</v>
      </c>
      <c r="I514">
        <v>2</v>
      </c>
      <c r="J514">
        <v>3380.98</v>
      </c>
      <c r="K514">
        <v>0.05</v>
      </c>
      <c r="L514">
        <v>6423.86</v>
      </c>
      <c r="M514">
        <v>5754.33</v>
      </c>
      <c r="N514">
        <v>669.53</v>
      </c>
      <c r="O514" t="s">
        <v>38</v>
      </c>
      <c r="P514" t="s">
        <v>71</v>
      </c>
      <c r="Q514" t="s">
        <v>29</v>
      </c>
      <c r="R514" t="s">
        <v>549</v>
      </c>
      <c r="S514">
        <v>7</v>
      </c>
      <c r="T514" t="s">
        <v>550</v>
      </c>
      <c r="U514">
        <v>0.10422549681966917</v>
      </c>
    </row>
    <row r="515" spans="1:21">
      <c r="A515">
        <v>918</v>
      </c>
      <c r="B515" s="1">
        <v>45853</v>
      </c>
      <c r="C515" t="s">
        <v>345</v>
      </c>
      <c r="D515" t="s">
        <v>155</v>
      </c>
      <c r="E515" t="s">
        <v>54</v>
      </c>
      <c r="F515" t="s">
        <v>55</v>
      </c>
      <c r="G515" t="s">
        <v>99</v>
      </c>
      <c r="H515" t="s">
        <v>26</v>
      </c>
      <c r="I515">
        <v>1</v>
      </c>
      <c r="J515">
        <v>15417.11</v>
      </c>
      <c r="K515">
        <v>0.05</v>
      </c>
      <c r="L515">
        <v>14646.25</v>
      </c>
      <c r="M515">
        <v>11089.67</v>
      </c>
      <c r="N515">
        <v>3556.58</v>
      </c>
      <c r="O515" t="s">
        <v>27</v>
      </c>
      <c r="P515" t="s">
        <v>71</v>
      </c>
      <c r="Q515" t="s">
        <v>46</v>
      </c>
      <c r="R515" t="s">
        <v>549</v>
      </c>
      <c r="S515">
        <v>7</v>
      </c>
      <c r="T515" t="s">
        <v>550</v>
      </c>
      <c r="U515">
        <v>0.24283212426389006</v>
      </c>
    </row>
    <row r="516" spans="1:21">
      <c r="A516">
        <v>165</v>
      </c>
      <c r="B516" s="1">
        <v>45853</v>
      </c>
      <c r="C516" t="s">
        <v>426</v>
      </c>
      <c r="D516" t="s">
        <v>562</v>
      </c>
      <c r="E516" t="s">
        <v>54</v>
      </c>
      <c r="F516" t="s">
        <v>127</v>
      </c>
      <c r="G516" t="s">
        <v>44</v>
      </c>
      <c r="H516" t="s">
        <v>26</v>
      </c>
      <c r="I516">
        <v>1</v>
      </c>
      <c r="J516">
        <v>66915.009999999995</v>
      </c>
      <c r="K516">
        <v>0</v>
      </c>
      <c r="L516">
        <v>66915.009999999995</v>
      </c>
      <c r="M516">
        <v>45430.65</v>
      </c>
      <c r="N516">
        <v>21484.36</v>
      </c>
      <c r="O516" t="s">
        <v>27</v>
      </c>
      <c r="P516" t="s">
        <v>45</v>
      </c>
      <c r="Q516" t="s">
        <v>29</v>
      </c>
      <c r="R516" t="s">
        <v>549</v>
      </c>
      <c r="S516">
        <v>7</v>
      </c>
      <c r="T516" t="s">
        <v>550</v>
      </c>
      <c r="U516">
        <v>0.32106936844214778</v>
      </c>
    </row>
    <row r="517" spans="1:21">
      <c r="A517">
        <v>731</v>
      </c>
      <c r="B517" s="1">
        <v>45853</v>
      </c>
      <c r="C517" t="s">
        <v>472</v>
      </c>
      <c r="D517" t="s">
        <v>440</v>
      </c>
      <c r="E517" t="s">
        <v>34</v>
      </c>
      <c r="F517" t="s">
        <v>49</v>
      </c>
      <c r="G517" t="s">
        <v>44</v>
      </c>
      <c r="H517" t="s">
        <v>26</v>
      </c>
      <c r="I517">
        <v>2</v>
      </c>
      <c r="J517">
        <v>74628.95</v>
      </c>
      <c r="K517">
        <v>0.15</v>
      </c>
      <c r="L517">
        <v>126869.21</v>
      </c>
      <c r="M517">
        <v>104756.55</v>
      </c>
      <c r="N517">
        <v>22112.66</v>
      </c>
      <c r="O517" t="s">
        <v>38</v>
      </c>
      <c r="P517" t="s">
        <v>28</v>
      </c>
      <c r="Q517" t="s">
        <v>29</v>
      </c>
      <c r="R517" t="s">
        <v>549</v>
      </c>
      <c r="S517">
        <v>7</v>
      </c>
      <c r="T517" t="s">
        <v>550</v>
      </c>
      <c r="U517">
        <v>0.17429492940012789</v>
      </c>
    </row>
    <row r="518" spans="1:21">
      <c r="A518">
        <v>483</v>
      </c>
      <c r="B518" s="1">
        <v>45853</v>
      </c>
      <c r="C518" t="s">
        <v>460</v>
      </c>
      <c r="D518" t="s">
        <v>473</v>
      </c>
      <c r="E518" t="s">
        <v>97</v>
      </c>
      <c r="F518" t="s">
        <v>104</v>
      </c>
      <c r="G518" t="s">
        <v>134</v>
      </c>
      <c r="H518" t="s">
        <v>26</v>
      </c>
      <c r="I518">
        <v>1</v>
      </c>
      <c r="J518">
        <v>50043.32</v>
      </c>
      <c r="K518">
        <v>0.02</v>
      </c>
      <c r="L518">
        <v>49042.45</v>
      </c>
      <c r="M518">
        <v>37987.449999999997</v>
      </c>
      <c r="N518">
        <v>11055</v>
      </c>
      <c r="O518" t="s">
        <v>27</v>
      </c>
      <c r="P518" t="s">
        <v>45</v>
      </c>
      <c r="Q518" t="s">
        <v>46</v>
      </c>
      <c r="R518" t="s">
        <v>549</v>
      </c>
      <c r="S518">
        <v>7</v>
      </c>
      <c r="T518" t="s">
        <v>550</v>
      </c>
      <c r="U518">
        <v>0.22541696020488375</v>
      </c>
    </row>
    <row r="519" spans="1:21">
      <c r="A519">
        <v>552</v>
      </c>
      <c r="B519" s="1">
        <v>45853</v>
      </c>
      <c r="C519" t="s">
        <v>142</v>
      </c>
      <c r="D519" t="s">
        <v>563</v>
      </c>
      <c r="E519" t="s">
        <v>54</v>
      </c>
      <c r="F519" t="s">
        <v>55</v>
      </c>
      <c r="G519" t="s">
        <v>134</v>
      </c>
      <c r="H519" t="s">
        <v>26</v>
      </c>
      <c r="I519">
        <v>4</v>
      </c>
      <c r="J519">
        <v>46836.51</v>
      </c>
      <c r="K519">
        <v>0.1</v>
      </c>
      <c r="L519">
        <v>168611.44</v>
      </c>
      <c r="M519">
        <v>164053.04</v>
      </c>
      <c r="N519">
        <v>4558.3999999999996</v>
      </c>
      <c r="O519" t="s">
        <v>38</v>
      </c>
      <c r="P519" t="s">
        <v>45</v>
      </c>
      <c r="Q519" t="s">
        <v>40</v>
      </c>
      <c r="R519" t="s">
        <v>549</v>
      </c>
      <c r="S519">
        <v>7</v>
      </c>
      <c r="T519" t="s">
        <v>550</v>
      </c>
      <c r="U519">
        <v>2.7034939029048084E-2</v>
      </c>
    </row>
    <row r="520" spans="1:21">
      <c r="A520">
        <v>385</v>
      </c>
      <c r="B520" s="1">
        <v>45854</v>
      </c>
      <c r="C520" t="s">
        <v>515</v>
      </c>
      <c r="D520" t="s">
        <v>159</v>
      </c>
      <c r="E520" t="s">
        <v>76</v>
      </c>
      <c r="F520" t="s">
        <v>77</v>
      </c>
      <c r="G520" t="s">
        <v>69</v>
      </c>
      <c r="H520" t="s">
        <v>70</v>
      </c>
      <c r="I520">
        <v>1</v>
      </c>
      <c r="J520">
        <v>2052.75</v>
      </c>
      <c r="K520">
        <v>0.15</v>
      </c>
      <c r="L520">
        <v>1744.84</v>
      </c>
      <c r="M520">
        <v>1584.97</v>
      </c>
      <c r="N520">
        <v>159.87</v>
      </c>
      <c r="O520" t="s">
        <v>27</v>
      </c>
      <c r="P520" t="s">
        <v>45</v>
      </c>
      <c r="Q520" t="s">
        <v>29</v>
      </c>
      <c r="R520" t="s">
        <v>549</v>
      </c>
      <c r="S520">
        <v>7</v>
      </c>
      <c r="T520" t="s">
        <v>550</v>
      </c>
      <c r="U520">
        <v>9.1624446940693716E-2</v>
      </c>
    </row>
    <row r="521" spans="1:21">
      <c r="A521">
        <v>395</v>
      </c>
      <c r="B521" s="1">
        <v>45854</v>
      </c>
      <c r="C521" t="s">
        <v>564</v>
      </c>
      <c r="D521" t="s">
        <v>565</v>
      </c>
      <c r="E521" t="s">
        <v>34</v>
      </c>
      <c r="F521" t="s">
        <v>86</v>
      </c>
      <c r="G521" t="s">
        <v>25</v>
      </c>
      <c r="H521" t="s">
        <v>26</v>
      </c>
      <c r="I521">
        <v>3</v>
      </c>
      <c r="J521">
        <v>10571.19</v>
      </c>
      <c r="K521">
        <v>0.02</v>
      </c>
      <c r="L521">
        <v>31079.3</v>
      </c>
      <c r="M521">
        <v>22258.32</v>
      </c>
      <c r="N521">
        <v>8820.98</v>
      </c>
      <c r="O521" t="s">
        <v>27</v>
      </c>
      <c r="P521" t="s">
        <v>39</v>
      </c>
      <c r="Q521" t="s">
        <v>40</v>
      </c>
      <c r="R521" t="s">
        <v>549</v>
      </c>
      <c r="S521">
        <v>7</v>
      </c>
      <c r="T521" t="s">
        <v>550</v>
      </c>
      <c r="U521">
        <v>0.28382170769611925</v>
      </c>
    </row>
    <row r="522" spans="1:21">
      <c r="A522">
        <v>857</v>
      </c>
      <c r="B522" s="1">
        <v>45854</v>
      </c>
      <c r="C522" t="s">
        <v>295</v>
      </c>
      <c r="D522" t="s">
        <v>563</v>
      </c>
      <c r="E522" t="s">
        <v>54</v>
      </c>
      <c r="F522" t="s">
        <v>55</v>
      </c>
      <c r="G522" t="s">
        <v>62</v>
      </c>
      <c r="H522" t="s">
        <v>63</v>
      </c>
      <c r="I522">
        <v>1</v>
      </c>
      <c r="J522">
        <v>181.82</v>
      </c>
      <c r="K522">
        <v>0</v>
      </c>
      <c r="L522">
        <v>181.82</v>
      </c>
      <c r="M522">
        <v>119.81</v>
      </c>
      <c r="N522">
        <v>62.01</v>
      </c>
      <c r="O522" t="s">
        <v>27</v>
      </c>
      <c r="P522" t="s">
        <v>45</v>
      </c>
      <c r="Q522" t="s">
        <v>46</v>
      </c>
      <c r="R522" t="s">
        <v>549</v>
      </c>
      <c r="S522">
        <v>7</v>
      </c>
      <c r="T522" t="s">
        <v>550</v>
      </c>
      <c r="U522">
        <v>0.34105158948410513</v>
      </c>
    </row>
    <row r="523" spans="1:21">
      <c r="A523">
        <v>807</v>
      </c>
      <c r="B523" s="1">
        <v>45854</v>
      </c>
      <c r="C523" t="s">
        <v>193</v>
      </c>
      <c r="D523" t="s">
        <v>22</v>
      </c>
      <c r="E523" t="s">
        <v>34</v>
      </c>
      <c r="F523" t="s">
        <v>35</v>
      </c>
      <c r="G523" t="s">
        <v>69</v>
      </c>
      <c r="H523" t="s">
        <v>70</v>
      </c>
      <c r="I523">
        <v>1</v>
      </c>
      <c r="J523">
        <v>2885.81</v>
      </c>
      <c r="K523">
        <v>0.1</v>
      </c>
      <c r="L523">
        <v>2597.23</v>
      </c>
      <c r="M523">
        <v>2405.81</v>
      </c>
      <c r="N523">
        <v>191.42</v>
      </c>
      <c r="O523" t="s">
        <v>27</v>
      </c>
      <c r="P523" t="s">
        <v>28</v>
      </c>
      <c r="Q523" t="s">
        <v>46</v>
      </c>
      <c r="R523" t="s">
        <v>549</v>
      </c>
      <c r="S523">
        <v>7</v>
      </c>
      <c r="T523" t="s">
        <v>550</v>
      </c>
      <c r="U523">
        <v>7.3701597471151958E-2</v>
      </c>
    </row>
    <row r="524" spans="1:21">
      <c r="A524">
        <v>78</v>
      </c>
      <c r="B524" s="1">
        <v>45855</v>
      </c>
      <c r="C524" t="s">
        <v>318</v>
      </c>
      <c r="D524" t="s">
        <v>101</v>
      </c>
      <c r="E524" t="s">
        <v>97</v>
      </c>
      <c r="F524" t="s">
        <v>98</v>
      </c>
      <c r="G524" t="s">
        <v>59</v>
      </c>
      <c r="H524" t="s">
        <v>37</v>
      </c>
      <c r="I524">
        <v>2</v>
      </c>
      <c r="J524">
        <v>11914.15</v>
      </c>
      <c r="K524">
        <v>0.05</v>
      </c>
      <c r="L524">
        <v>22636.880000000001</v>
      </c>
      <c r="M524">
        <v>18136.689999999999</v>
      </c>
      <c r="N524">
        <v>4500.1899999999996</v>
      </c>
      <c r="O524" t="s">
        <v>38</v>
      </c>
      <c r="P524" t="s">
        <v>39</v>
      </c>
      <c r="Q524" t="s">
        <v>40</v>
      </c>
      <c r="R524" t="s">
        <v>549</v>
      </c>
      <c r="S524">
        <v>7</v>
      </c>
      <c r="T524" t="s">
        <v>550</v>
      </c>
      <c r="U524">
        <v>0.1987990394435982</v>
      </c>
    </row>
    <row r="525" spans="1:21">
      <c r="A525">
        <v>760</v>
      </c>
      <c r="B525" s="1">
        <v>45855</v>
      </c>
      <c r="C525" t="s">
        <v>501</v>
      </c>
      <c r="D525" t="s">
        <v>566</v>
      </c>
      <c r="E525" t="s">
        <v>97</v>
      </c>
      <c r="F525" t="s">
        <v>104</v>
      </c>
      <c r="G525" t="s">
        <v>105</v>
      </c>
      <c r="H525" t="s">
        <v>26</v>
      </c>
      <c r="I525">
        <v>1</v>
      </c>
      <c r="J525">
        <v>5376.35</v>
      </c>
      <c r="K525">
        <v>0</v>
      </c>
      <c r="L525">
        <v>5376.35</v>
      </c>
      <c r="M525">
        <v>4476.6499999999996</v>
      </c>
      <c r="N525">
        <v>899.7</v>
      </c>
      <c r="O525" t="s">
        <v>38</v>
      </c>
      <c r="P525" t="s">
        <v>28</v>
      </c>
      <c r="Q525" t="s">
        <v>40</v>
      </c>
      <c r="R525" t="s">
        <v>549</v>
      </c>
      <c r="S525">
        <v>7</v>
      </c>
      <c r="T525" t="s">
        <v>550</v>
      </c>
      <c r="U525">
        <v>0.16734401592158249</v>
      </c>
    </row>
    <row r="526" spans="1:21">
      <c r="A526">
        <v>293</v>
      </c>
      <c r="B526" s="1">
        <v>45856</v>
      </c>
      <c r="C526" t="s">
        <v>170</v>
      </c>
      <c r="D526" t="s">
        <v>364</v>
      </c>
      <c r="E526" t="s">
        <v>23</v>
      </c>
      <c r="F526" t="s">
        <v>58</v>
      </c>
      <c r="G526" t="s">
        <v>105</v>
      </c>
      <c r="H526" t="s">
        <v>26</v>
      </c>
      <c r="I526">
        <v>1</v>
      </c>
      <c r="J526">
        <v>3419.1</v>
      </c>
      <c r="K526">
        <v>0.05</v>
      </c>
      <c r="L526">
        <v>3248.14</v>
      </c>
      <c r="M526">
        <v>2247.69</v>
      </c>
      <c r="N526">
        <v>1000.45</v>
      </c>
      <c r="O526" t="s">
        <v>38</v>
      </c>
      <c r="P526" t="s">
        <v>71</v>
      </c>
      <c r="Q526" t="s">
        <v>40</v>
      </c>
      <c r="R526" t="s">
        <v>549</v>
      </c>
      <c r="S526">
        <v>7</v>
      </c>
      <c r="T526" t="s">
        <v>550</v>
      </c>
      <c r="U526">
        <v>0.30800704403135337</v>
      </c>
    </row>
    <row r="527" spans="1:21">
      <c r="A527">
        <v>632</v>
      </c>
      <c r="B527" s="1">
        <v>45856</v>
      </c>
      <c r="C527" t="s">
        <v>419</v>
      </c>
      <c r="D527" t="s">
        <v>489</v>
      </c>
      <c r="E527" t="s">
        <v>97</v>
      </c>
      <c r="F527" t="s">
        <v>148</v>
      </c>
      <c r="G527" t="s">
        <v>62</v>
      </c>
      <c r="H527" t="s">
        <v>63</v>
      </c>
      <c r="I527">
        <v>1</v>
      </c>
      <c r="J527">
        <v>109.96</v>
      </c>
      <c r="K527">
        <v>0.1</v>
      </c>
      <c r="L527">
        <v>98.96</v>
      </c>
      <c r="M527">
        <v>85.64</v>
      </c>
      <c r="N527">
        <v>13.32</v>
      </c>
      <c r="O527" t="s">
        <v>38</v>
      </c>
      <c r="P527" t="s">
        <v>78</v>
      </c>
      <c r="Q527" t="s">
        <v>29</v>
      </c>
      <c r="R527" t="s">
        <v>549</v>
      </c>
      <c r="S527">
        <v>7</v>
      </c>
      <c r="T527" t="s">
        <v>550</v>
      </c>
      <c r="U527">
        <v>0.13459983831851255</v>
      </c>
    </row>
    <row r="528" spans="1:21">
      <c r="A528">
        <v>427</v>
      </c>
      <c r="B528" s="1">
        <v>45857</v>
      </c>
      <c r="C528" t="s">
        <v>567</v>
      </c>
      <c r="D528" t="s">
        <v>568</v>
      </c>
      <c r="E528" t="s">
        <v>54</v>
      </c>
      <c r="F528" t="s">
        <v>55</v>
      </c>
      <c r="G528" t="s">
        <v>69</v>
      </c>
      <c r="H528" t="s">
        <v>70</v>
      </c>
      <c r="I528">
        <v>1</v>
      </c>
      <c r="J528">
        <v>2950.57</v>
      </c>
      <c r="K528">
        <v>0.05</v>
      </c>
      <c r="L528">
        <v>2803.04</v>
      </c>
      <c r="M528">
        <v>2002.75</v>
      </c>
      <c r="N528">
        <v>800.29</v>
      </c>
      <c r="O528" t="s">
        <v>38</v>
      </c>
      <c r="P528" t="s">
        <v>45</v>
      </c>
      <c r="Q528" t="s">
        <v>46</v>
      </c>
      <c r="R528" t="s">
        <v>549</v>
      </c>
      <c r="S528">
        <v>7</v>
      </c>
      <c r="T528" t="s">
        <v>550</v>
      </c>
      <c r="U528">
        <v>0.28550787716193848</v>
      </c>
    </row>
    <row r="529" spans="1:21">
      <c r="A529">
        <v>549</v>
      </c>
      <c r="B529" s="1">
        <v>45857</v>
      </c>
      <c r="C529" t="s">
        <v>357</v>
      </c>
      <c r="D529" t="s">
        <v>453</v>
      </c>
      <c r="E529" t="s">
        <v>54</v>
      </c>
      <c r="F529" t="s">
        <v>108</v>
      </c>
      <c r="G529" t="s">
        <v>62</v>
      </c>
      <c r="H529" t="s">
        <v>63</v>
      </c>
      <c r="I529">
        <v>4</v>
      </c>
      <c r="J529">
        <v>226.53</v>
      </c>
      <c r="K529">
        <v>0</v>
      </c>
      <c r="L529">
        <v>906.12</v>
      </c>
      <c r="M529">
        <v>766.07</v>
      </c>
      <c r="N529">
        <v>140.05000000000001</v>
      </c>
      <c r="O529" t="s">
        <v>38</v>
      </c>
      <c r="P529" t="s">
        <v>45</v>
      </c>
      <c r="Q529" t="s">
        <v>29</v>
      </c>
      <c r="R529" t="s">
        <v>549</v>
      </c>
      <c r="S529">
        <v>7</v>
      </c>
      <c r="T529" t="s">
        <v>550</v>
      </c>
      <c r="U529">
        <v>0.15456010241469123</v>
      </c>
    </row>
    <row r="530" spans="1:21">
      <c r="A530">
        <v>515</v>
      </c>
      <c r="B530" s="1">
        <v>45857</v>
      </c>
      <c r="C530" t="s">
        <v>345</v>
      </c>
      <c r="D530" t="s">
        <v>569</v>
      </c>
      <c r="E530" t="s">
        <v>34</v>
      </c>
      <c r="F530" t="s">
        <v>49</v>
      </c>
      <c r="G530" t="s">
        <v>44</v>
      </c>
      <c r="H530" t="s">
        <v>26</v>
      </c>
      <c r="I530">
        <v>3</v>
      </c>
      <c r="J530">
        <v>67470.38</v>
      </c>
      <c r="K530">
        <v>0.05</v>
      </c>
      <c r="L530">
        <v>192290.58</v>
      </c>
      <c r="M530">
        <v>129989.4</v>
      </c>
      <c r="N530">
        <v>62301.18</v>
      </c>
      <c r="O530" t="s">
        <v>38</v>
      </c>
      <c r="P530" t="s">
        <v>28</v>
      </c>
      <c r="Q530" t="s">
        <v>40</v>
      </c>
      <c r="R530" t="s">
        <v>549</v>
      </c>
      <c r="S530">
        <v>7</v>
      </c>
      <c r="T530" t="s">
        <v>550</v>
      </c>
      <c r="U530">
        <v>0.32399496636808733</v>
      </c>
    </row>
    <row r="531" spans="1:21">
      <c r="A531">
        <v>834</v>
      </c>
      <c r="B531" s="1">
        <v>45857</v>
      </c>
      <c r="C531" t="s">
        <v>281</v>
      </c>
      <c r="D531" t="s">
        <v>520</v>
      </c>
      <c r="E531" t="s">
        <v>54</v>
      </c>
      <c r="F531" t="s">
        <v>108</v>
      </c>
      <c r="G531" t="s">
        <v>44</v>
      </c>
      <c r="H531" t="s">
        <v>26</v>
      </c>
      <c r="I531">
        <v>1</v>
      </c>
      <c r="J531">
        <v>68903.929999999993</v>
      </c>
      <c r="K531">
        <v>0.02</v>
      </c>
      <c r="L531">
        <v>67525.850000000006</v>
      </c>
      <c r="M531">
        <v>49488.67</v>
      </c>
      <c r="N531">
        <v>18037.18</v>
      </c>
      <c r="O531" t="s">
        <v>38</v>
      </c>
      <c r="P531" t="s">
        <v>39</v>
      </c>
      <c r="Q531" t="s">
        <v>40</v>
      </c>
      <c r="R531" t="s">
        <v>549</v>
      </c>
      <c r="S531">
        <v>7</v>
      </c>
      <c r="T531" t="s">
        <v>550</v>
      </c>
      <c r="U531">
        <v>0.26711518625829955</v>
      </c>
    </row>
    <row r="532" spans="1:21">
      <c r="A532">
        <v>479</v>
      </c>
      <c r="B532" s="1">
        <v>45858</v>
      </c>
      <c r="C532" t="s">
        <v>462</v>
      </c>
      <c r="D532" t="s">
        <v>198</v>
      </c>
      <c r="E532" t="s">
        <v>97</v>
      </c>
      <c r="F532" t="s">
        <v>104</v>
      </c>
      <c r="G532" t="s">
        <v>25</v>
      </c>
      <c r="H532" t="s">
        <v>26</v>
      </c>
      <c r="I532">
        <v>2</v>
      </c>
      <c r="J532">
        <v>12964.2</v>
      </c>
      <c r="K532">
        <v>0.05</v>
      </c>
      <c r="L532">
        <v>24631.98</v>
      </c>
      <c r="M532">
        <v>16444.580000000002</v>
      </c>
      <c r="N532">
        <v>8187.4</v>
      </c>
      <c r="O532" t="s">
        <v>27</v>
      </c>
      <c r="P532" t="s">
        <v>28</v>
      </c>
      <c r="Q532" t="s">
        <v>46</v>
      </c>
      <c r="R532" t="s">
        <v>549</v>
      </c>
      <c r="S532">
        <v>7</v>
      </c>
      <c r="T532" t="s">
        <v>550</v>
      </c>
      <c r="U532">
        <v>0.33238903246917217</v>
      </c>
    </row>
    <row r="533" spans="1:21">
      <c r="A533">
        <v>161</v>
      </c>
      <c r="B533" s="1">
        <v>45859</v>
      </c>
      <c r="C533" t="s">
        <v>517</v>
      </c>
      <c r="D533" t="s">
        <v>107</v>
      </c>
      <c r="E533" t="s">
        <v>23</v>
      </c>
      <c r="F533" t="s">
        <v>58</v>
      </c>
      <c r="G533" t="s">
        <v>99</v>
      </c>
      <c r="H533" t="s">
        <v>26</v>
      </c>
      <c r="I533">
        <v>1</v>
      </c>
      <c r="J533">
        <v>14770.93</v>
      </c>
      <c r="K533">
        <v>0.1</v>
      </c>
      <c r="L533">
        <v>13293.84</v>
      </c>
      <c r="M533">
        <v>10785.32</v>
      </c>
      <c r="N533">
        <v>2508.52</v>
      </c>
      <c r="O533" t="s">
        <v>27</v>
      </c>
      <c r="P533" t="s">
        <v>28</v>
      </c>
      <c r="Q533" t="s">
        <v>46</v>
      </c>
      <c r="R533" t="s">
        <v>549</v>
      </c>
      <c r="S533">
        <v>7</v>
      </c>
      <c r="T533" t="s">
        <v>550</v>
      </c>
      <c r="U533">
        <v>0.18869792324866252</v>
      </c>
    </row>
    <row r="534" spans="1:21">
      <c r="A534">
        <v>930</v>
      </c>
      <c r="B534" s="1">
        <v>45859</v>
      </c>
      <c r="C534" t="s">
        <v>87</v>
      </c>
      <c r="D534" t="s">
        <v>186</v>
      </c>
      <c r="E534" t="s">
        <v>34</v>
      </c>
      <c r="F534" t="s">
        <v>35</v>
      </c>
      <c r="G534" t="s">
        <v>134</v>
      </c>
      <c r="H534" t="s">
        <v>26</v>
      </c>
      <c r="I534">
        <v>1</v>
      </c>
      <c r="J534">
        <v>47352.03</v>
      </c>
      <c r="K534">
        <v>0.02</v>
      </c>
      <c r="L534">
        <v>46404.99</v>
      </c>
      <c r="M534">
        <v>40915.83</v>
      </c>
      <c r="N534">
        <v>5489.16</v>
      </c>
      <c r="O534" t="s">
        <v>27</v>
      </c>
      <c r="P534" t="s">
        <v>45</v>
      </c>
      <c r="Q534" t="s">
        <v>29</v>
      </c>
      <c r="R534" t="s">
        <v>549</v>
      </c>
      <c r="S534">
        <v>7</v>
      </c>
      <c r="T534" t="s">
        <v>550</v>
      </c>
      <c r="U534">
        <v>0.11828814099518177</v>
      </c>
    </row>
    <row r="535" spans="1:21">
      <c r="A535">
        <v>903</v>
      </c>
      <c r="B535" s="1">
        <v>45860</v>
      </c>
      <c r="C535" t="s">
        <v>570</v>
      </c>
      <c r="D535" t="s">
        <v>489</v>
      </c>
      <c r="E535" t="s">
        <v>34</v>
      </c>
      <c r="F535" t="s">
        <v>35</v>
      </c>
      <c r="G535" t="s">
        <v>62</v>
      </c>
      <c r="H535" t="s">
        <v>63</v>
      </c>
      <c r="I535">
        <v>2</v>
      </c>
      <c r="J535">
        <v>294.88</v>
      </c>
      <c r="K535">
        <v>0.05</v>
      </c>
      <c r="L535">
        <v>560.27</v>
      </c>
      <c r="M535">
        <v>451.55</v>
      </c>
      <c r="N535">
        <v>108.72</v>
      </c>
      <c r="O535" t="s">
        <v>38</v>
      </c>
      <c r="P535" t="s">
        <v>71</v>
      </c>
      <c r="Q535" t="s">
        <v>40</v>
      </c>
      <c r="R535" t="s">
        <v>549</v>
      </c>
      <c r="S535">
        <v>7</v>
      </c>
      <c r="T535" t="s">
        <v>550</v>
      </c>
      <c r="U535">
        <v>0.19404929766005677</v>
      </c>
    </row>
    <row r="536" spans="1:21">
      <c r="A536">
        <v>664</v>
      </c>
      <c r="B536" s="1">
        <v>45860</v>
      </c>
      <c r="C536" t="s">
        <v>156</v>
      </c>
      <c r="D536" t="s">
        <v>362</v>
      </c>
      <c r="E536" t="s">
        <v>54</v>
      </c>
      <c r="F536" t="s">
        <v>55</v>
      </c>
      <c r="G536" t="s">
        <v>59</v>
      </c>
      <c r="H536" t="s">
        <v>37</v>
      </c>
      <c r="I536">
        <v>2</v>
      </c>
      <c r="J536">
        <v>9749.77</v>
      </c>
      <c r="K536">
        <v>0.15</v>
      </c>
      <c r="L536">
        <v>16574.61</v>
      </c>
      <c r="M536">
        <v>14901.57</v>
      </c>
      <c r="N536">
        <v>1673.04</v>
      </c>
      <c r="O536" t="s">
        <v>38</v>
      </c>
      <c r="P536" t="s">
        <v>28</v>
      </c>
      <c r="Q536" t="s">
        <v>46</v>
      </c>
      <c r="R536" t="s">
        <v>549</v>
      </c>
      <c r="S536">
        <v>7</v>
      </c>
      <c r="T536" t="s">
        <v>550</v>
      </c>
      <c r="U536">
        <v>0.10093993161830052</v>
      </c>
    </row>
    <row r="537" spans="1:21">
      <c r="A537">
        <v>345</v>
      </c>
      <c r="B537" s="1">
        <v>45861</v>
      </c>
      <c r="C537" t="s">
        <v>355</v>
      </c>
      <c r="D537" t="s">
        <v>214</v>
      </c>
      <c r="E537" t="s">
        <v>54</v>
      </c>
      <c r="F537" t="s">
        <v>55</v>
      </c>
      <c r="G537" t="s">
        <v>59</v>
      </c>
      <c r="H537" t="s">
        <v>37</v>
      </c>
      <c r="I537">
        <v>2</v>
      </c>
      <c r="J537">
        <v>7440.39</v>
      </c>
      <c r="K537">
        <v>0.02</v>
      </c>
      <c r="L537">
        <v>14583.16</v>
      </c>
      <c r="M537">
        <v>11930.32</v>
      </c>
      <c r="N537">
        <v>2652.84</v>
      </c>
      <c r="O537" t="s">
        <v>27</v>
      </c>
      <c r="P537" t="s">
        <v>28</v>
      </c>
      <c r="Q537" t="s">
        <v>29</v>
      </c>
      <c r="R537" t="s">
        <v>549</v>
      </c>
      <c r="S537">
        <v>7</v>
      </c>
      <c r="T537" t="s">
        <v>550</v>
      </c>
      <c r="U537">
        <v>0.18191119071586681</v>
      </c>
    </row>
    <row r="538" spans="1:21">
      <c r="A538">
        <v>772</v>
      </c>
      <c r="B538" s="1">
        <v>45861</v>
      </c>
      <c r="C538" t="s">
        <v>485</v>
      </c>
      <c r="D538" t="s">
        <v>48</v>
      </c>
      <c r="E538" t="s">
        <v>97</v>
      </c>
      <c r="F538" t="s">
        <v>98</v>
      </c>
      <c r="G538" t="s">
        <v>36</v>
      </c>
      <c r="H538" t="s">
        <v>37</v>
      </c>
      <c r="I538">
        <v>2</v>
      </c>
      <c r="J538">
        <v>6664.99</v>
      </c>
      <c r="K538">
        <v>0.05</v>
      </c>
      <c r="L538">
        <v>12663.48</v>
      </c>
      <c r="M538">
        <v>10373</v>
      </c>
      <c r="N538">
        <v>2290.48</v>
      </c>
      <c r="O538" t="s">
        <v>38</v>
      </c>
      <c r="P538" t="s">
        <v>71</v>
      </c>
      <c r="Q538" t="s">
        <v>46</v>
      </c>
      <c r="R538" t="s">
        <v>549</v>
      </c>
      <c r="S538">
        <v>7</v>
      </c>
      <c r="T538" t="s">
        <v>550</v>
      </c>
      <c r="U538">
        <v>0.18087287222785522</v>
      </c>
    </row>
    <row r="539" spans="1:21">
      <c r="A539">
        <v>679</v>
      </c>
      <c r="B539" s="1">
        <v>45862</v>
      </c>
      <c r="C539" t="s">
        <v>72</v>
      </c>
      <c r="D539" t="s">
        <v>362</v>
      </c>
      <c r="E539" t="s">
        <v>54</v>
      </c>
      <c r="F539" t="s">
        <v>127</v>
      </c>
      <c r="G539" t="s">
        <v>50</v>
      </c>
      <c r="H539" t="s">
        <v>51</v>
      </c>
      <c r="I539">
        <v>4</v>
      </c>
      <c r="J539">
        <v>375.9</v>
      </c>
      <c r="K539">
        <v>0.15</v>
      </c>
      <c r="L539">
        <v>1278.06</v>
      </c>
      <c r="M539">
        <v>1169.71</v>
      </c>
      <c r="N539">
        <v>108.35</v>
      </c>
      <c r="O539" t="s">
        <v>27</v>
      </c>
      <c r="P539" t="s">
        <v>28</v>
      </c>
      <c r="Q539" t="s">
        <v>29</v>
      </c>
      <c r="R539" t="s">
        <v>549</v>
      </c>
      <c r="S539">
        <v>7</v>
      </c>
      <c r="T539" t="s">
        <v>550</v>
      </c>
      <c r="U539">
        <v>8.4776927530788845E-2</v>
      </c>
    </row>
    <row r="540" spans="1:21">
      <c r="A540">
        <v>739</v>
      </c>
      <c r="B540" s="1">
        <v>45862</v>
      </c>
      <c r="C540" t="s">
        <v>123</v>
      </c>
      <c r="D540" t="s">
        <v>75</v>
      </c>
      <c r="E540" t="s">
        <v>34</v>
      </c>
      <c r="F540" t="s">
        <v>86</v>
      </c>
      <c r="G540" t="s">
        <v>25</v>
      </c>
      <c r="H540" t="s">
        <v>26</v>
      </c>
      <c r="I540">
        <v>3</v>
      </c>
      <c r="J540">
        <v>10100.68</v>
      </c>
      <c r="K540">
        <v>0</v>
      </c>
      <c r="L540">
        <v>30302.04</v>
      </c>
      <c r="M540">
        <v>24065.51</v>
      </c>
      <c r="N540">
        <v>6236.53</v>
      </c>
      <c r="O540" t="s">
        <v>38</v>
      </c>
      <c r="P540" t="s">
        <v>71</v>
      </c>
      <c r="Q540" t="s">
        <v>46</v>
      </c>
      <c r="R540" t="s">
        <v>549</v>
      </c>
      <c r="S540">
        <v>7</v>
      </c>
      <c r="T540" t="s">
        <v>550</v>
      </c>
      <c r="U540">
        <v>0.205812215943217</v>
      </c>
    </row>
    <row r="541" spans="1:21">
      <c r="A541">
        <v>750</v>
      </c>
      <c r="B541" s="1">
        <v>45862</v>
      </c>
      <c r="C541" t="s">
        <v>494</v>
      </c>
      <c r="D541" t="s">
        <v>188</v>
      </c>
      <c r="E541" t="s">
        <v>76</v>
      </c>
      <c r="F541" t="s">
        <v>81</v>
      </c>
      <c r="G541" t="s">
        <v>50</v>
      </c>
      <c r="H541" t="s">
        <v>51</v>
      </c>
      <c r="I541">
        <v>2</v>
      </c>
      <c r="J541">
        <v>1109.02</v>
      </c>
      <c r="K541">
        <v>0.05</v>
      </c>
      <c r="L541">
        <v>2107.14</v>
      </c>
      <c r="M541">
        <v>1618.86</v>
      </c>
      <c r="N541">
        <v>488.28</v>
      </c>
      <c r="O541" t="s">
        <v>27</v>
      </c>
      <c r="P541" t="s">
        <v>71</v>
      </c>
      <c r="Q541" t="s">
        <v>46</v>
      </c>
      <c r="R541" t="s">
        <v>549</v>
      </c>
      <c r="S541">
        <v>7</v>
      </c>
      <c r="T541" t="s">
        <v>550</v>
      </c>
      <c r="U541">
        <v>0.23172641590022494</v>
      </c>
    </row>
    <row r="542" spans="1:21">
      <c r="A542">
        <v>465</v>
      </c>
      <c r="B542" s="1">
        <v>45863</v>
      </c>
      <c r="C542" t="s">
        <v>523</v>
      </c>
      <c r="D542" t="s">
        <v>471</v>
      </c>
      <c r="E542" t="s">
        <v>54</v>
      </c>
      <c r="F542" t="s">
        <v>55</v>
      </c>
      <c r="G542" t="s">
        <v>134</v>
      </c>
      <c r="H542" t="s">
        <v>26</v>
      </c>
      <c r="I542">
        <v>2</v>
      </c>
      <c r="J542">
        <v>43177.74</v>
      </c>
      <c r="K542">
        <v>0.15</v>
      </c>
      <c r="L542">
        <v>73402.16</v>
      </c>
      <c r="M542">
        <v>74523.17</v>
      </c>
      <c r="N542">
        <v>-1121.01</v>
      </c>
      <c r="O542" t="s">
        <v>38</v>
      </c>
      <c r="P542" t="s">
        <v>28</v>
      </c>
      <c r="Q542" t="s">
        <v>46</v>
      </c>
      <c r="R542" t="s">
        <v>549</v>
      </c>
      <c r="S542">
        <v>7</v>
      </c>
      <c r="T542" t="s">
        <v>550</v>
      </c>
      <c r="U542">
        <v>-1.5272166377665179E-2</v>
      </c>
    </row>
    <row r="543" spans="1:21">
      <c r="A543">
        <v>338</v>
      </c>
      <c r="B543" s="1">
        <v>45863</v>
      </c>
      <c r="C543" t="s">
        <v>571</v>
      </c>
      <c r="D543" t="s">
        <v>159</v>
      </c>
      <c r="E543" t="s">
        <v>54</v>
      </c>
      <c r="F543" t="s">
        <v>127</v>
      </c>
      <c r="G543" t="s">
        <v>50</v>
      </c>
      <c r="H543" t="s">
        <v>51</v>
      </c>
      <c r="I543">
        <v>1</v>
      </c>
      <c r="J543">
        <v>351.41</v>
      </c>
      <c r="K543">
        <v>0.05</v>
      </c>
      <c r="L543">
        <v>333.84</v>
      </c>
      <c r="M543">
        <v>224.27</v>
      </c>
      <c r="N543">
        <v>109.57</v>
      </c>
      <c r="O543" t="s">
        <v>38</v>
      </c>
      <c r="P543" t="s">
        <v>78</v>
      </c>
      <c r="Q543" t="s">
        <v>46</v>
      </c>
      <c r="R543" t="s">
        <v>549</v>
      </c>
      <c r="S543">
        <v>7</v>
      </c>
      <c r="T543" t="s">
        <v>550</v>
      </c>
      <c r="U543">
        <v>0.32821111909896955</v>
      </c>
    </row>
    <row r="544" spans="1:21">
      <c r="A544">
        <v>859</v>
      </c>
      <c r="B544" s="1">
        <v>45864</v>
      </c>
      <c r="C544" t="s">
        <v>558</v>
      </c>
      <c r="D544" t="s">
        <v>204</v>
      </c>
      <c r="E544" t="s">
        <v>97</v>
      </c>
      <c r="F544" t="s">
        <v>148</v>
      </c>
      <c r="G544" t="s">
        <v>105</v>
      </c>
      <c r="H544" t="s">
        <v>26</v>
      </c>
      <c r="I544">
        <v>4</v>
      </c>
      <c r="J544">
        <v>3469.94</v>
      </c>
      <c r="K544">
        <v>0.05</v>
      </c>
      <c r="L544">
        <v>13185.77</v>
      </c>
      <c r="M544">
        <v>11020.62</v>
      </c>
      <c r="N544">
        <v>2165.15</v>
      </c>
      <c r="O544" t="s">
        <v>38</v>
      </c>
      <c r="P544" t="s">
        <v>28</v>
      </c>
      <c r="Q544" t="s">
        <v>29</v>
      </c>
      <c r="R544" t="s">
        <v>549</v>
      </c>
      <c r="S544">
        <v>7</v>
      </c>
      <c r="T544" t="s">
        <v>550</v>
      </c>
      <c r="U544">
        <v>0.16420353153437381</v>
      </c>
    </row>
    <row r="545" spans="1:21">
      <c r="A545">
        <v>858</v>
      </c>
      <c r="B545" s="1">
        <v>45865</v>
      </c>
      <c r="C545" t="s">
        <v>353</v>
      </c>
      <c r="D545" t="s">
        <v>520</v>
      </c>
      <c r="E545" t="s">
        <v>23</v>
      </c>
      <c r="F545" t="s">
        <v>24</v>
      </c>
      <c r="G545" t="s">
        <v>99</v>
      </c>
      <c r="H545" t="s">
        <v>26</v>
      </c>
      <c r="I545">
        <v>1</v>
      </c>
      <c r="J545">
        <v>14635.14</v>
      </c>
      <c r="K545">
        <v>0.15</v>
      </c>
      <c r="L545">
        <v>12439.87</v>
      </c>
      <c r="M545">
        <v>9079.7999999999993</v>
      </c>
      <c r="N545">
        <v>3360.07</v>
      </c>
      <c r="O545" t="s">
        <v>38</v>
      </c>
      <c r="P545" t="s">
        <v>39</v>
      </c>
      <c r="Q545" t="s">
        <v>29</v>
      </c>
      <c r="R545" t="s">
        <v>549</v>
      </c>
      <c r="S545">
        <v>7</v>
      </c>
      <c r="T545" t="s">
        <v>550</v>
      </c>
      <c r="U545">
        <v>0.270104912671917</v>
      </c>
    </row>
    <row r="546" spans="1:21">
      <c r="A546">
        <v>22</v>
      </c>
      <c r="B546" s="1">
        <v>45865</v>
      </c>
      <c r="C546" t="s">
        <v>237</v>
      </c>
      <c r="D546" t="s">
        <v>68</v>
      </c>
      <c r="E546" t="s">
        <v>97</v>
      </c>
      <c r="F546" t="s">
        <v>98</v>
      </c>
      <c r="G546" t="s">
        <v>134</v>
      </c>
      <c r="H546" t="s">
        <v>26</v>
      </c>
      <c r="I546">
        <v>1</v>
      </c>
      <c r="J546">
        <v>23949.9</v>
      </c>
      <c r="K546">
        <v>0.02</v>
      </c>
      <c r="L546">
        <v>23470.9</v>
      </c>
      <c r="M546">
        <v>19157.349999999999</v>
      </c>
      <c r="N546">
        <v>4313.55</v>
      </c>
      <c r="O546" t="s">
        <v>27</v>
      </c>
      <c r="P546" t="s">
        <v>28</v>
      </c>
      <c r="Q546" t="s">
        <v>40</v>
      </c>
      <c r="R546" t="s">
        <v>549</v>
      </c>
      <c r="S546">
        <v>7</v>
      </c>
      <c r="T546" t="s">
        <v>550</v>
      </c>
      <c r="U546">
        <v>0.1837828971194117</v>
      </c>
    </row>
    <row r="547" spans="1:21">
      <c r="A547">
        <v>379</v>
      </c>
      <c r="B547" s="1">
        <v>45865</v>
      </c>
      <c r="C547" t="s">
        <v>106</v>
      </c>
      <c r="D547" t="s">
        <v>242</v>
      </c>
      <c r="E547" t="s">
        <v>23</v>
      </c>
      <c r="F547" t="s">
        <v>58</v>
      </c>
      <c r="G547" t="s">
        <v>66</v>
      </c>
      <c r="H547" t="s">
        <v>51</v>
      </c>
      <c r="I547">
        <v>1</v>
      </c>
      <c r="J547">
        <v>1792.81</v>
      </c>
      <c r="K547">
        <v>0.1</v>
      </c>
      <c r="L547">
        <v>1613.53</v>
      </c>
      <c r="M547">
        <v>1198.1199999999999</v>
      </c>
      <c r="N547">
        <v>415.41</v>
      </c>
      <c r="O547" t="s">
        <v>27</v>
      </c>
      <c r="P547" t="s">
        <v>71</v>
      </c>
      <c r="Q547" t="s">
        <v>29</v>
      </c>
      <c r="R547" t="s">
        <v>549</v>
      </c>
      <c r="S547">
        <v>7</v>
      </c>
      <c r="T547" t="s">
        <v>550</v>
      </c>
      <c r="U547">
        <v>0.25745415331602139</v>
      </c>
    </row>
    <row r="548" spans="1:21">
      <c r="A548">
        <v>393</v>
      </c>
      <c r="B548" s="1">
        <v>45865</v>
      </c>
      <c r="C548" t="s">
        <v>572</v>
      </c>
      <c r="D548" t="s">
        <v>133</v>
      </c>
      <c r="E548" t="s">
        <v>34</v>
      </c>
      <c r="F548" t="s">
        <v>49</v>
      </c>
      <c r="G548" t="s">
        <v>69</v>
      </c>
      <c r="H548" t="s">
        <v>70</v>
      </c>
      <c r="I548">
        <v>4</v>
      </c>
      <c r="J548">
        <v>989.29</v>
      </c>
      <c r="K548">
        <v>0.1</v>
      </c>
      <c r="L548">
        <v>3561.44</v>
      </c>
      <c r="M548">
        <v>3025.82</v>
      </c>
      <c r="N548">
        <v>535.62</v>
      </c>
      <c r="O548" t="s">
        <v>27</v>
      </c>
      <c r="P548" t="s">
        <v>71</v>
      </c>
      <c r="Q548" t="s">
        <v>40</v>
      </c>
      <c r="R548" t="s">
        <v>549</v>
      </c>
      <c r="S548">
        <v>7</v>
      </c>
      <c r="T548" t="s">
        <v>550</v>
      </c>
      <c r="U548">
        <v>0.15039422256166046</v>
      </c>
    </row>
    <row r="549" spans="1:21">
      <c r="A549">
        <v>546</v>
      </c>
      <c r="B549" s="1">
        <v>45866</v>
      </c>
      <c r="C549" t="s">
        <v>331</v>
      </c>
      <c r="D549" t="s">
        <v>573</v>
      </c>
      <c r="E549" t="s">
        <v>34</v>
      </c>
      <c r="F549" t="s">
        <v>86</v>
      </c>
      <c r="G549" t="s">
        <v>105</v>
      </c>
      <c r="H549" t="s">
        <v>26</v>
      </c>
      <c r="I549">
        <v>1</v>
      </c>
      <c r="J549">
        <v>5357.12</v>
      </c>
      <c r="K549">
        <v>0.05</v>
      </c>
      <c r="L549">
        <v>5089.26</v>
      </c>
      <c r="M549">
        <v>3558.84</v>
      </c>
      <c r="N549">
        <v>1530.42</v>
      </c>
      <c r="O549" t="s">
        <v>27</v>
      </c>
      <c r="P549" t="s">
        <v>28</v>
      </c>
      <c r="Q549" t="s">
        <v>46</v>
      </c>
      <c r="R549" t="s">
        <v>549</v>
      </c>
      <c r="S549">
        <v>7</v>
      </c>
      <c r="T549" t="s">
        <v>550</v>
      </c>
      <c r="U549">
        <v>0.30071562466841939</v>
      </c>
    </row>
    <row r="550" spans="1:21">
      <c r="A550">
        <v>959</v>
      </c>
      <c r="B550" s="1">
        <v>45866</v>
      </c>
      <c r="C550" t="s">
        <v>445</v>
      </c>
      <c r="D550" t="s">
        <v>563</v>
      </c>
      <c r="E550" t="s">
        <v>76</v>
      </c>
      <c r="F550" t="s">
        <v>77</v>
      </c>
      <c r="G550" t="s">
        <v>62</v>
      </c>
      <c r="H550" t="s">
        <v>63</v>
      </c>
      <c r="I550">
        <v>1</v>
      </c>
      <c r="J550">
        <v>140.44</v>
      </c>
      <c r="K550">
        <v>0</v>
      </c>
      <c r="L550">
        <v>140.44</v>
      </c>
      <c r="M550">
        <v>97.69</v>
      </c>
      <c r="N550">
        <v>42.75</v>
      </c>
      <c r="O550" t="s">
        <v>27</v>
      </c>
      <c r="P550" t="s">
        <v>45</v>
      </c>
      <c r="Q550" t="s">
        <v>46</v>
      </c>
      <c r="R550" t="s">
        <v>549</v>
      </c>
      <c r="S550">
        <v>7</v>
      </c>
      <c r="T550" t="s">
        <v>550</v>
      </c>
      <c r="U550">
        <v>0.30440045571062374</v>
      </c>
    </row>
    <row r="551" spans="1:21">
      <c r="A551">
        <v>636</v>
      </c>
      <c r="B551" s="1">
        <v>45867</v>
      </c>
      <c r="C551" t="s">
        <v>574</v>
      </c>
      <c r="D551" t="s">
        <v>575</v>
      </c>
      <c r="E551" t="s">
        <v>76</v>
      </c>
      <c r="F551" t="s">
        <v>81</v>
      </c>
      <c r="G551" t="s">
        <v>134</v>
      </c>
      <c r="H551" t="s">
        <v>26</v>
      </c>
      <c r="I551">
        <v>1</v>
      </c>
      <c r="J551">
        <v>38132.660000000003</v>
      </c>
      <c r="K551">
        <v>0</v>
      </c>
      <c r="L551">
        <v>38132.660000000003</v>
      </c>
      <c r="M551">
        <v>31146.79</v>
      </c>
      <c r="N551">
        <v>6985.87</v>
      </c>
      <c r="O551" t="s">
        <v>27</v>
      </c>
      <c r="P551" t="s">
        <v>28</v>
      </c>
      <c r="Q551" t="s">
        <v>40</v>
      </c>
      <c r="R551" t="s">
        <v>549</v>
      </c>
      <c r="S551">
        <v>7</v>
      </c>
      <c r="T551" t="s">
        <v>550</v>
      </c>
      <c r="U551">
        <v>0.18319912641814129</v>
      </c>
    </row>
    <row r="552" spans="1:21">
      <c r="A552">
        <v>776</v>
      </c>
      <c r="B552" s="1">
        <v>45867</v>
      </c>
      <c r="C552" t="s">
        <v>289</v>
      </c>
      <c r="D552" t="s">
        <v>576</v>
      </c>
      <c r="E552" t="s">
        <v>76</v>
      </c>
      <c r="F552" t="s">
        <v>113</v>
      </c>
      <c r="G552" t="s">
        <v>105</v>
      </c>
      <c r="H552" t="s">
        <v>26</v>
      </c>
      <c r="I552">
        <v>1</v>
      </c>
      <c r="J552">
        <v>5896.23</v>
      </c>
      <c r="K552">
        <v>0.02</v>
      </c>
      <c r="L552">
        <v>5778.31</v>
      </c>
      <c r="M552">
        <v>4227.29</v>
      </c>
      <c r="N552">
        <v>1551.02</v>
      </c>
      <c r="O552" t="s">
        <v>38</v>
      </c>
      <c r="P552" t="s">
        <v>78</v>
      </c>
      <c r="Q552" t="s">
        <v>29</v>
      </c>
      <c r="R552" t="s">
        <v>549</v>
      </c>
      <c r="S552">
        <v>7</v>
      </c>
      <c r="T552" t="s">
        <v>550</v>
      </c>
      <c r="U552">
        <v>0.2684210435231062</v>
      </c>
    </row>
    <row r="553" spans="1:21">
      <c r="A553">
        <v>654</v>
      </c>
      <c r="B553" s="1">
        <v>45867</v>
      </c>
      <c r="C553" t="s">
        <v>93</v>
      </c>
      <c r="D553" t="s">
        <v>464</v>
      </c>
      <c r="E553" t="s">
        <v>54</v>
      </c>
      <c r="F553" t="s">
        <v>55</v>
      </c>
      <c r="G553" t="s">
        <v>134</v>
      </c>
      <c r="H553" t="s">
        <v>26</v>
      </c>
      <c r="I553">
        <v>3</v>
      </c>
      <c r="J553">
        <v>27704.15</v>
      </c>
      <c r="K553">
        <v>0</v>
      </c>
      <c r="L553">
        <v>83112.45</v>
      </c>
      <c r="M553">
        <v>54920.26</v>
      </c>
      <c r="N553">
        <v>28192.19</v>
      </c>
      <c r="O553" t="s">
        <v>27</v>
      </c>
      <c r="P553" t="s">
        <v>45</v>
      </c>
      <c r="Q553" t="s">
        <v>40</v>
      </c>
      <c r="R553" t="s">
        <v>549</v>
      </c>
      <c r="S553">
        <v>7</v>
      </c>
      <c r="T553" t="s">
        <v>550</v>
      </c>
      <c r="U553">
        <v>0.33920537777432863</v>
      </c>
    </row>
    <row r="554" spans="1:21">
      <c r="A554">
        <v>365</v>
      </c>
      <c r="B554" s="1">
        <v>45868</v>
      </c>
      <c r="C554" t="s">
        <v>346</v>
      </c>
      <c r="D554" t="s">
        <v>410</v>
      </c>
      <c r="E554" t="s">
        <v>23</v>
      </c>
      <c r="F554" t="s">
        <v>58</v>
      </c>
      <c r="G554" t="s">
        <v>134</v>
      </c>
      <c r="H554" t="s">
        <v>26</v>
      </c>
      <c r="I554">
        <v>1</v>
      </c>
      <c r="J554">
        <v>35422.089999999997</v>
      </c>
      <c r="K554">
        <v>0.1</v>
      </c>
      <c r="L554">
        <v>31879.88</v>
      </c>
      <c r="M554">
        <v>26411.67</v>
      </c>
      <c r="N554">
        <v>5468.21</v>
      </c>
      <c r="O554" t="s">
        <v>27</v>
      </c>
      <c r="P554" t="s">
        <v>45</v>
      </c>
      <c r="Q554" t="s">
        <v>46</v>
      </c>
      <c r="R554" t="s">
        <v>549</v>
      </c>
      <c r="S554">
        <v>7</v>
      </c>
      <c r="T554" t="s">
        <v>550</v>
      </c>
      <c r="U554">
        <v>0.17152542606810314</v>
      </c>
    </row>
    <row r="555" spans="1:21">
      <c r="A555">
        <v>138</v>
      </c>
      <c r="B555" s="1">
        <v>45868</v>
      </c>
      <c r="C555" t="s">
        <v>360</v>
      </c>
      <c r="D555" t="s">
        <v>497</v>
      </c>
      <c r="E555" t="s">
        <v>76</v>
      </c>
      <c r="F555" t="s">
        <v>81</v>
      </c>
      <c r="G555" t="s">
        <v>69</v>
      </c>
      <c r="H555" t="s">
        <v>70</v>
      </c>
      <c r="I555">
        <v>1</v>
      </c>
      <c r="J555">
        <v>2578.5100000000002</v>
      </c>
      <c r="K555">
        <v>0.1</v>
      </c>
      <c r="L555">
        <v>2320.66</v>
      </c>
      <c r="M555">
        <v>1971</v>
      </c>
      <c r="N555">
        <v>349.66</v>
      </c>
      <c r="O555" t="s">
        <v>27</v>
      </c>
      <c r="P555" t="s">
        <v>28</v>
      </c>
      <c r="Q555" t="s">
        <v>46</v>
      </c>
      <c r="R555" t="s">
        <v>549</v>
      </c>
      <c r="S555">
        <v>7</v>
      </c>
      <c r="T555" t="s">
        <v>550</v>
      </c>
      <c r="U555">
        <v>0.15067265346927169</v>
      </c>
    </row>
    <row r="556" spans="1:21">
      <c r="A556">
        <v>351</v>
      </c>
      <c r="B556" s="1">
        <v>45868</v>
      </c>
      <c r="C556" t="s">
        <v>415</v>
      </c>
      <c r="D556" t="s">
        <v>507</v>
      </c>
      <c r="E556" t="s">
        <v>23</v>
      </c>
      <c r="F556" t="s">
        <v>43</v>
      </c>
      <c r="G556" t="s">
        <v>134</v>
      </c>
      <c r="H556" t="s">
        <v>26</v>
      </c>
      <c r="I556">
        <v>1</v>
      </c>
      <c r="J556">
        <v>44173.69</v>
      </c>
      <c r="K556">
        <v>0</v>
      </c>
      <c r="L556">
        <v>44173.69</v>
      </c>
      <c r="M556">
        <v>30016.36</v>
      </c>
      <c r="N556">
        <v>14157.33</v>
      </c>
      <c r="O556" t="s">
        <v>27</v>
      </c>
      <c r="P556" t="s">
        <v>78</v>
      </c>
      <c r="Q556" t="s">
        <v>29</v>
      </c>
      <c r="R556" t="s">
        <v>549</v>
      </c>
      <c r="S556">
        <v>7</v>
      </c>
      <c r="T556" t="s">
        <v>550</v>
      </c>
      <c r="U556">
        <v>0.3204923564230201</v>
      </c>
    </row>
    <row r="557" spans="1:21">
      <c r="A557">
        <v>543</v>
      </c>
      <c r="B557" s="1">
        <v>45868</v>
      </c>
      <c r="C557" t="s">
        <v>503</v>
      </c>
      <c r="D557" t="s">
        <v>120</v>
      </c>
      <c r="E557" t="s">
        <v>23</v>
      </c>
      <c r="F557" t="s">
        <v>58</v>
      </c>
      <c r="G557" t="s">
        <v>44</v>
      </c>
      <c r="H557" t="s">
        <v>26</v>
      </c>
      <c r="I557">
        <v>1</v>
      </c>
      <c r="J557">
        <v>73191.91</v>
      </c>
      <c r="K557">
        <v>0.15</v>
      </c>
      <c r="L557">
        <v>62213.120000000003</v>
      </c>
      <c r="M557">
        <v>60806.21</v>
      </c>
      <c r="N557">
        <v>1406.91</v>
      </c>
      <c r="O557" t="s">
        <v>27</v>
      </c>
      <c r="P557" t="s">
        <v>45</v>
      </c>
      <c r="Q557" t="s">
        <v>46</v>
      </c>
      <c r="R557" t="s">
        <v>549</v>
      </c>
      <c r="S557">
        <v>7</v>
      </c>
      <c r="T557" t="s">
        <v>550</v>
      </c>
      <c r="U557">
        <v>2.2614361729487286E-2</v>
      </c>
    </row>
    <row r="558" spans="1:21">
      <c r="A558">
        <v>730</v>
      </c>
      <c r="B558" s="1">
        <v>45868</v>
      </c>
      <c r="C558" t="s">
        <v>95</v>
      </c>
      <c r="D558" t="s">
        <v>362</v>
      </c>
      <c r="E558" t="s">
        <v>76</v>
      </c>
      <c r="F558" t="s">
        <v>113</v>
      </c>
      <c r="G558" t="s">
        <v>50</v>
      </c>
      <c r="H558" t="s">
        <v>51</v>
      </c>
      <c r="I558">
        <v>1</v>
      </c>
      <c r="J558">
        <v>1364.2</v>
      </c>
      <c r="K558">
        <v>0.15</v>
      </c>
      <c r="L558">
        <v>1159.57</v>
      </c>
      <c r="M558">
        <v>1111.73</v>
      </c>
      <c r="N558">
        <v>47.84</v>
      </c>
      <c r="O558" t="s">
        <v>38</v>
      </c>
      <c r="P558" t="s">
        <v>78</v>
      </c>
      <c r="Q558" t="s">
        <v>40</v>
      </c>
      <c r="R558" t="s">
        <v>549</v>
      </c>
      <c r="S558">
        <v>7</v>
      </c>
      <c r="T558" t="s">
        <v>550</v>
      </c>
      <c r="U558">
        <v>4.1256672732133466E-2</v>
      </c>
    </row>
    <row r="559" spans="1:21">
      <c r="A559">
        <v>52</v>
      </c>
      <c r="B559" s="1">
        <v>45869</v>
      </c>
      <c r="C559" t="s">
        <v>572</v>
      </c>
      <c r="D559" t="s">
        <v>568</v>
      </c>
      <c r="E559" t="s">
        <v>54</v>
      </c>
      <c r="F559" t="s">
        <v>127</v>
      </c>
      <c r="G559" t="s">
        <v>25</v>
      </c>
      <c r="H559" t="s">
        <v>26</v>
      </c>
      <c r="I559">
        <v>1</v>
      </c>
      <c r="J559">
        <v>10159.200000000001</v>
      </c>
      <c r="K559">
        <v>0</v>
      </c>
      <c r="L559">
        <v>10159.200000000001</v>
      </c>
      <c r="M559">
        <v>7037.67</v>
      </c>
      <c r="N559">
        <v>3121.53</v>
      </c>
      <c r="O559" t="s">
        <v>38</v>
      </c>
      <c r="P559" t="s">
        <v>71</v>
      </c>
      <c r="Q559" t="s">
        <v>40</v>
      </c>
      <c r="R559" t="s">
        <v>549</v>
      </c>
      <c r="S559">
        <v>7</v>
      </c>
      <c r="T559" t="s">
        <v>550</v>
      </c>
      <c r="U559">
        <v>0.30726139853531775</v>
      </c>
    </row>
    <row r="560" spans="1:21">
      <c r="A560">
        <v>657</v>
      </c>
      <c r="B560" s="1">
        <v>45869</v>
      </c>
      <c r="C560" t="s">
        <v>336</v>
      </c>
      <c r="D560" t="s">
        <v>388</v>
      </c>
      <c r="E560" t="s">
        <v>34</v>
      </c>
      <c r="F560" t="s">
        <v>35</v>
      </c>
      <c r="G560" t="s">
        <v>66</v>
      </c>
      <c r="H560" t="s">
        <v>51</v>
      </c>
      <c r="I560">
        <v>3</v>
      </c>
      <c r="J560">
        <v>2018.89</v>
      </c>
      <c r="K560">
        <v>0</v>
      </c>
      <c r="L560">
        <v>6056.67</v>
      </c>
      <c r="M560">
        <v>4890.87</v>
      </c>
      <c r="N560">
        <v>1165.8</v>
      </c>
      <c r="O560" t="s">
        <v>27</v>
      </c>
      <c r="P560" t="s">
        <v>78</v>
      </c>
      <c r="Q560" t="s">
        <v>40</v>
      </c>
      <c r="R560" t="s">
        <v>549</v>
      </c>
      <c r="S560">
        <v>7</v>
      </c>
      <c r="T560" t="s">
        <v>550</v>
      </c>
      <c r="U560">
        <v>0.19248200743973173</v>
      </c>
    </row>
    <row r="561" spans="1:21">
      <c r="A561">
        <v>180</v>
      </c>
      <c r="B561" s="1">
        <v>45870</v>
      </c>
      <c r="C561" t="s">
        <v>542</v>
      </c>
      <c r="D561" t="s">
        <v>467</v>
      </c>
      <c r="E561" t="s">
        <v>76</v>
      </c>
      <c r="F561" t="s">
        <v>77</v>
      </c>
      <c r="G561" t="s">
        <v>59</v>
      </c>
      <c r="H561" t="s">
        <v>37</v>
      </c>
      <c r="I561">
        <v>4</v>
      </c>
      <c r="J561">
        <v>6782.43</v>
      </c>
      <c r="K561">
        <v>0.15</v>
      </c>
      <c r="L561">
        <v>23060.26</v>
      </c>
      <c r="M561">
        <v>18338.400000000001</v>
      </c>
      <c r="N561">
        <v>4721.8599999999997</v>
      </c>
      <c r="O561" t="s">
        <v>38</v>
      </c>
      <c r="P561" t="s">
        <v>45</v>
      </c>
      <c r="Q561" t="s">
        <v>29</v>
      </c>
      <c r="R561" t="s">
        <v>577</v>
      </c>
      <c r="S561">
        <v>8</v>
      </c>
      <c r="T561" t="s">
        <v>550</v>
      </c>
      <c r="U561">
        <v>0.20476178499288386</v>
      </c>
    </row>
    <row r="562" spans="1:21">
      <c r="A562">
        <v>724</v>
      </c>
      <c r="B562" s="1">
        <v>45870</v>
      </c>
      <c r="C562" t="s">
        <v>498</v>
      </c>
      <c r="D562" t="s">
        <v>75</v>
      </c>
      <c r="E562" t="s">
        <v>34</v>
      </c>
      <c r="F562" t="s">
        <v>49</v>
      </c>
      <c r="G562" t="s">
        <v>59</v>
      </c>
      <c r="H562" t="s">
        <v>37</v>
      </c>
      <c r="I562">
        <v>2</v>
      </c>
      <c r="J562">
        <v>14411.86</v>
      </c>
      <c r="K562">
        <v>0.05</v>
      </c>
      <c r="L562">
        <v>27382.53</v>
      </c>
      <c r="M562">
        <v>20928.63</v>
      </c>
      <c r="N562">
        <v>6453.9</v>
      </c>
      <c r="O562" t="s">
        <v>27</v>
      </c>
      <c r="P562" t="s">
        <v>78</v>
      </c>
      <c r="Q562" t="s">
        <v>46</v>
      </c>
      <c r="R562" t="s">
        <v>577</v>
      </c>
      <c r="S562">
        <v>8</v>
      </c>
      <c r="T562" t="s">
        <v>550</v>
      </c>
      <c r="U562">
        <v>0.23569407209633295</v>
      </c>
    </row>
    <row r="563" spans="1:21">
      <c r="A563">
        <v>323</v>
      </c>
      <c r="B563" s="1">
        <v>45871</v>
      </c>
      <c r="C563" t="s">
        <v>578</v>
      </c>
      <c r="D563" t="s">
        <v>579</v>
      </c>
      <c r="E563" t="s">
        <v>34</v>
      </c>
      <c r="F563" t="s">
        <v>35</v>
      </c>
      <c r="G563" t="s">
        <v>145</v>
      </c>
      <c r="H563" t="s">
        <v>70</v>
      </c>
      <c r="I563">
        <v>1</v>
      </c>
      <c r="J563">
        <v>1834.67</v>
      </c>
      <c r="K563">
        <v>0</v>
      </c>
      <c r="L563">
        <v>1834.67</v>
      </c>
      <c r="M563">
        <v>1233.42</v>
      </c>
      <c r="N563">
        <v>601.25</v>
      </c>
      <c r="O563" t="s">
        <v>38</v>
      </c>
      <c r="P563" t="s">
        <v>39</v>
      </c>
      <c r="Q563" t="s">
        <v>40</v>
      </c>
      <c r="R563" t="s">
        <v>577</v>
      </c>
      <c r="S563">
        <v>8</v>
      </c>
      <c r="T563" t="s">
        <v>550</v>
      </c>
      <c r="U563">
        <v>0.32771561098181146</v>
      </c>
    </row>
    <row r="564" spans="1:21">
      <c r="A564">
        <v>328</v>
      </c>
      <c r="B564" s="1">
        <v>45871</v>
      </c>
      <c r="C564" t="s">
        <v>580</v>
      </c>
      <c r="D564" t="s">
        <v>176</v>
      </c>
      <c r="E564" t="s">
        <v>76</v>
      </c>
      <c r="F564" t="s">
        <v>77</v>
      </c>
      <c r="G564" t="s">
        <v>59</v>
      </c>
      <c r="H564" t="s">
        <v>37</v>
      </c>
      <c r="I564">
        <v>4</v>
      </c>
      <c r="J564">
        <v>15892.81</v>
      </c>
      <c r="K564">
        <v>0.05</v>
      </c>
      <c r="L564">
        <v>60392.68</v>
      </c>
      <c r="M564">
        <v>46265.51</v>
      </c>
      <c r="N564">
        <v>14127.17</v>
      </c>
      <c r="O564" t="s">
        <v>38</v>
      </c>
      <c r="P564" t="s">
        <v>71</v>
      </c>
      <c r="Q564" t="s">
        <v>40</v>
      </c>
      <c r="R564" t="s">
        <v>577</v>
      </c>
      <c r="S564">
        <v>8</v>
      </c>
      <c r="T564" t="s">
        <v>550</v>
      </c>
      <c r="U564">
        <v>0.23392189252074921</v>
      </c>
    </row>
    <row r="565" spans="1:21">
      <c r="A565">
        <v>970</v>
      </c>
      <c r="B565" s="1">
        <v>45872</v>
      </c>
      <c r="C565" t="s">
        <v>329</v>
      </c>
      <c r="D565" t="s">
        <v>230</v>
      </c>
      <c r="E565" t="s">
        <v>23</v>
      </c>
      <c r="F565" t="s">
        <v>43</v>
      </c>
      <c r="G565" t="s">
        <v>59</v>
      </c>
      <c r="H565" t="s">
        <v>37</v>
      </c>
      <c r="I565">
        <v>3</v>
      </c>
      <c r="J565">
        <v>15225.07</v>
      </c>
      <c r="K565">
        <v>0.02</v>
      </c>
      <c r="L565">
        <v>44761.71</v>
      </c>
      <c r="M565">
        <v>28842.25</v>
      </c>
      <c r="N565">
        <v>15919.46</v>
      </c>
      <c r="O565" t="s">
        <v>27</v>
      </c>
      <c r="P565" t="s">
        <v>39</v>
      </c>
      <c r="Q565" t="s">
        <v>46</v>
      </c>
      <c r="R565" t="s">
        <v>577</v>
      </c>
      <c r="S565">
        <v>8</v>
      </c>
      <c r="T565" t="s">
        <v>550</v>
      </c>
      <c r="U565">
        <v>0.3556490580900506</v>
      </c>
    </row>
    <row r="566" spans="1:21">
      <c r="A566">
        <v>606</v>
      </c>
      <c r="B566" s="1">
        <v>45872</v>
      </c>
      <c r="C566" t="s">
        <v>368</v>
      </c>
      <c r="D566" t="s">
        <v>126</v>
      </c>
      <c r="E566" t="s">
        <v>34</v>
      </c>
      <c r="F566" t="s">
        <v>86</v>
      </c>
      <c r="G566" t="s">
        <v>50</v>
      </c>
      <c r="H566" t="s">
        <v>51</v>
      </c>
      <c r="I566">
        <v>1</v>
      </c>
      <c r="J566">
        <v>739.34</v>
      </c>
      <c r="K566">
        <v>0.05</v>
      </c>
      <c r="L566">
        <v>702.37</v>
      </c>
      <c r="M566">
        <v>523.46</v>
      </c>
      <c r="N566">
        <v>178.91</v>
      </c>
      <c r="O566" t="s">
        <v>38</v>
      </c>
      <c r="P566" t="s">
        <v>45</v>
      </c>
      <c r="Q566" t="s">
        <v>29</v>
      </c>
      <c r="R566" t="s">
        <v>577</v>
      </c>
      <c r="S566">
        <v>8</v>
      </c>
      <c r="T566" t="s">
        <v>550</v>
      </c>
      <c r="U566">
        <v>0.25472329399034699</v>
      </c>
    </row>
    <row r="567" spans="1:21">
      <c r="A567">
        <v>443</v>
      </c>
      <c r="B567" s="1">
        <v>45872</v>
      </c>
      <c r="C567" t="s">
        <v>462</v>
      </c>
      <c r="D567" t="s">
        <v>255</v>
      </c>
      <c r="E567" t="s">
        <v>54</v>
      </c>
      <c r="F567" t="s">
        <v>55</v>
      </c>
      <c r="G567" t="s">
        <v>59</v>
      </c>
      <c r="H567" t="s">
        <v>37</v>
      </c>
      <c r="I567">
        <v>1</v>
      </c>
      <c r="J567">
        <v>11218.36</v>
      </c>
      <c r="K567">
        <v>0.15</v>
      </c>
      <c r="L567">
        <v>9535.61</v>
      </c>
      <c r="M567">
        <v>9346</v>
      </c>
      <c r="N567">
        <v>189.61</v>
      </c>
      <c r="O567" t="s">
        <v>38</v>
      </c>
      <c r="P567" t="s">
        <v>39</v>
      </c>
      <c r="Q567" t="s">
        <v>40</v>
      </c>
      <c r="R567" t="s">
        <v>577</v>
      </c>
      <c r="S567">
        <v>8</v>
      </c>
      <c r="T567" t="s">
        <v>550</v>
      </c>
      <c r="U567">
        <v>1.9884412219039999E-2</v>
      </c>
    </row>
    <row r="568" spans="1:21">
      <c r="A568">
        <v>44</v>
      </c>
      <c r="B568" s="1">
        <v>45872</v>
      </c>
      <c r="C568" t="s">
        <v>564</v>
      </c>
      <c r="D568" t="s">
        <v>581</v>
      </c>
      <c r="E568" t="s">
        <v>76</v>
      </c>
      <c r="F568" t="s">
        <v>113</v>
      </c>
      <c r="G568" t="s">
        <v>66</v>
      </c>
      <c r="H568" t="s">
        <v>51</v>
      </c>
      <c r="I568">
        <v>3</v>
      </c>
      <c r="J568">
        <v>3433.05</v>
      </c>
      <c r="K568">
        <v>0.02</v>
      </c>
      <c r="L568">
        <v>10093.17</v>
      </c>
      <c r="M568">
        <v>7567.79</v>
      </c>
      <c r="N568">
        <v>2525.38</v>
      </c>
      <c r="O568" t="s">
        <v>38</v>
      </c>
      <c r="P568" t="s">
        <v>45</v>
      </c>
      <c r="Q568" t="s">
        <v>46</v>
      </c>
      <c r="R568" t="s">
        <v>577</v>
      </c>
      <c r="S568">
        <v>8</v>
      </c>
      <c r="T568" t="s">
        <v>550</v>
      </c>
      <c r="U568">
        <v>0.25020682302983105</v>
      </c>
    </row>
    <row r="569" spans="1:21">
      <c r="A569">
        <v>990</v>
      </c>
      <c r="B569" s="1">
        <v>45872</v>
      </c>
      <c r="C569" t="s">
        <v>338</v>
      </c>
      <c r="D569" t="s">
        <v>234</v>
      </c>
      <c r="E569" t="s">
        <v>23</v>
      </c>
      <c r="F569" t="s">
        <v>43</v>
      </c>
      <c r="G569" t="s">
        <v>62</v>
      </c>
      <c r="H569" t="s">
        <v>63</v>
      </c>
      <c r="I569">
        <v>2</v>
      </c>
      <c r="J569">
        <v>180.34</v>
      </c>
      <c r="K569">
        <v>0.05</v>
      </c>
      <c r="L569">
        <v>342.65</v>
      </c>
      <c r="M569">
        <v>280.32</v>
      </c>
      <c r="N569">
        <v>62.33</v>
      </c>
      <c r="O569" t="s">
        <v>38</v>
      </c>
      <c r="P569" t="s">
        <v>78</v>
      </c>
      <c r="Q569" t="s">
        <v>46</v>
      </c>
      <c r="R569" t="s">
        <v>577</v>
      </c>
      <c r="S569">
        <v>8</v>
      </c>
      <c r="T569" t="s">
        <v>550</v>
      </c>
      <c r="U569">
        <v>0.18190573471472349</v>
      </c>
    </row>
    <row r="570" spans="1:21">
      <c r="A570">
        <v>533</v>
      </c>
      <c r="B570" s="1">
        <v>45873</v>
      </c>
      <c r="C570" t="s">
        <v>351</v>
      </c>
      <c r="D570" t="s">
        <v>566</v>
      </c>
      <c r="E570" t="s">
        <v>34</v>
      </c>
      <c r="F570" t="s">
        <v>86</v>
      </c>
      <c r="G570" t="s">
        <v>36</v>
      </c>
      <c r="H570" t="s">
        <v>37</v>
      </c>
      <c r="I570">
        <v>3</v>
      </c>
      <c r="J570">
        <v>5572.7</v>
      </c>
      <c r="K570">
        <v>0.05</v>
      </c>
      <c r="L570">
        <v>15882.19</v>
      </c>
      <c r="M570">
        <v>12601.56</v>
      </c>
      <c r="N570">
        <v>3280.63</v>
      </c>
      <c r="O570" t="s">
        <v>38</v>
      </c>
      <c r="P570" t="s">
        <v>71</v>
      </c>
      <c r="Q570" t="s">
        <v>46</v>
      </c>
      <c r="R570" t="s">
        <v>577</v>
      </c>
      <c r="S570">
        <v>8</v>
      </c>
      <c r="T570" t="s">
        <v>550</v>
      </c>
      <c r="U570">
        <v>0.20656030434090009</v>
      </c>
    </row>
    <row r="571" spans="1:21">
      <c r="A571">
        <v>65</v>
      </c>
      <c r="B571" s="1">
        <v>45873</v>
      </c>
      <c r="C571" t="s">
        <v>170</v>
      </c>
      <c r="D571" t="s">
        <v>407</v>
      </c>
      <c r="E571" t="s">
        <v>76</v>
      </c>
      <c r="F571" t="s">
        <v>81</v>
      </c>
      <c r="G571" t="s">
        <v>36</v>
      </c>
      <c r="H571" t="s">
        <v>37</v>
      </c>
      <c r="I571">
        <v>1</v>
      </c>
      <c r="J571">
        <v>9814.2800000000007</v>
      </c>
      <c r="K571">
        <v>0.1</v>
      </c>
      <c r="L571">
        <v>8832.85</v>
      </c>
      <c r="M571">
        <v>7026.22</v>
      </c>
      <c r="N571">
        <v>1806.63</v>
      </c>
      <c r="O571" t="s">
        <v>38</v>
      </c>
      <c r="P571" t="s">
        <v>39</v>
      </c>
      <c r="Q571" t="s">
        <v>46</v>
      </c>
      <c r="R571" t="s">
        <v>577</v>
      </c>
      <c r="S571">
        <v>8</v>
      </c>
      <c r="T571" t="s">
        <v>550</v>
      </c>
      <c r="U571">
        <v>0.20453534249987265</v>
      </c>
    </row>
    <row r="572" spans="1:21">
      <c r="A572">
        <v>742</v>
      </c>
      <c r="B572" s="1">
        <v>45873</v>
      </c>
      <c r="C572" t="s">
        <v>466</v>
      </c>
      <c r="D572" t="s">
        <v>434</v>
      </c>
      <c r="E572" t="s">
        <v>97</v>
      </c>
      <c r="F572" t="s">
        <v>148</v>
      </c>
      <c r="G572" t="s">
        <v>25</v>
      </c>
      <c r="H572" t="s">
        <v>26</v>
      </c>
      <c r="I572">
        <v>1</v>
      </c>
      <c r="J572">
        <v>14718.11</v>
      </c>
      <c r="K572">
        <v>0</v>
      </c>
      <c r="L572">
        <v>14718.11</v>
      </c>
      <c r="M572">
        <v>10430.209999999999</v>
      </c>
      <c r="N572">
        <v>4287.8999999999996</v>
      </c>
      <c r="O572" t="s">
        <v>38</v>
      </c>
      <c r="P572" t="s">
        <v>45</v>
      </c>
      <c r="Q572" t="s">
        <v>40</v>
      </c>
      <c r="R572" t="s">
        <v>577</v>
      </c>
      <c r="S572">
        <v>8</v>
      </c>
      <c r="T572" t="s">
        <v>550</v>
      </c>
      <c r="U572">
        <v>0.29133496080678833</v>
      </c>
    </row>
    <row r="573" spans="1:21">
      <c r="A573">
        <v>645</v>
      </c>
      <c r="B573" s="1">
        <v>45874</v>
      </c>
      <c r="C573" t="s">
        <v>582</v>
      </c>
      <c r="D573" t="s">
        <v>433</v>
      </c>
      <c r="E573" t="s">
        <v>97</v>
      </c>
      <c r="F573" t="s">
        <v>98</v>
      </c>
      <c r="G573" t="s">
        <v>105</v>
      </c>
      <c r="H573" t="s">
        <v>26</v>
      </c>
      <c r="I573">
        <v>1</v>
      </c>
      <c r="J573">
        <v>5841.68</v>
      </c>
      <c r="K573">
        <v>0</v>
      </c>
      <c r="L573">
        <v>5841.68</v>
      </c>
      <c r="M573">
        <v>3982.54</v>
      </c>
      <c r="N573">
        <v>1859.14</v>
      </c>
      <c r="O573" t="s">
        <v>27</v>
      </c>
      <c r="P573" t="s">
        <v>71</v>
      </c>
      <c r="Q573" t="s">
        <v>40</v>
      </c>
      <c r="R573" t="s">
        <v>577</v>
      </c>
      <c r="S573">
        <v>8</v>
      </c>
      <c r="T573" t="s">
        <v>550</v>
      </c>
      <c r="U573">
        <v>0.31825433779323758</v>
      </c>
    </row>
    <row r="574" spans="1:21">
      <c r="A574">
        <v>582</v>
      </c>
      <c r="B574" s="1">
        <v>45874</v>
      </c>
      <c r="C574" t="s">
        <v>583</v>
      </c>
      <c r="D574" t="s">
        <v>380</v>
      </c>
      <c r="E574" t="s">
        <v>76</v>
      </c>
      <c r="F574" t="s">
        <v>113</v>
      </c>
      <c r="G574" t="s">
        <v>44</v>
      </c>
      <c r="H574" t="s">
        <v>26</v>
      </c>
      <c r="I574">
        <v>1</v>
      </c>
      <c r="J574">
        <v>64381.19</v>
      </c>
      <c r="K574">
        <v>0.1</v>
      </c>
      <c r="L574">
        <v>57943.07</v>
      </c>
      <c r="M574">
        <v>42324.56</v>
      </c>
      <c r="N574">
        <v>15618.51</v>
      </c>
      <c r="O574" t="s">
        <v>38</v>
      </c>
      <c r="P574" t="s">
        <v>71</v>
      </c>
      <c r="Q574" t="s">
        <v>46</v>
      </c>
      <c r="R574" t="s">
        <v>577</v>
      </c>
      <c r="S574">
        <v>8</v>
      </c>
      <c r="T574" t="s">
        <v>550</v>
      </c>
      <c r="U574">
        <v>0.26954923168551476</v>
      </c>
    </row>
    <row r="575" spans="1:21">
      <c r="A575">
        <v>500</v>
      </c>
      <c r="B575" s="1">
        <v>45874</v>
      </c>
      <c r="C575" t="s">
        <v>170</v>
      </c>
      <c r="D575" t="s">
        <v>136</v>
      </c>
      <c r="E575" t="s">
        <v>23</v>
      </c>
      <c r="F575" t="s">
        <v>43</v>
      </c>
      <c r="G575" t="s">
        <v>62</v>
      </c>
      <c r="H575" t="s">
        <v>63</v>
      </c>
      <c r="I575">
        <v>1</v>
      </c>
      <c r="J575">
        <v>152.63</v>
      </c>
      <c r="K575">
        <v>0.02</v>
      </c>
      <c r="L575">
        <v>149.58000000000001</v>
      </c>
      <c r="M575">
        <v>131.11000000000001</v>
      </c>
      <c r="N575">
        <v>18.47</v>
      </c>
      <c r="O575" t="s">
        <v>27</v>
      </c>
      <c r="P575" t="s">
        <v>78</v>
      </c>
      <c r="Q575" t="s">
        <v>29</v>
      </c>
      <c r="R575" t="s">
        <v>577</v>
      </c>
      <c r="S575">
        <v>8</v>
      </c>
      <c r="T575" t="s">
        <v>550</v>
      </c>
      <c r="U575">
        <v>0.12347907474261263</v>
      </c>
    </row>
    <row r="576" spans="1:21">
      <c r="A576">
        <v>346</v>
      </c>
      <c r="B576" s="1">
        <v>45874</v>
      </c>
      <c r="C576" t="s">
        <v>584</v>
      </c>
      <c r="D576" t="s">
        <v>585</v>
      </c>
      <c r="E576" t="s">
        <v>76</v>
      </c>
      <c r="F576" t="s">
        <v>113</v>
      </c>
      <c r="G576" t="s">
        <v>105</v>
      </c>
      <c r="H576" t="s">
        <v>26</v>
      </c>
      <c r="I576">
        <v>2</v>
      </c>
      <c r="J576">
        <v>6805.42</v>
      </c>
      <c r="K576">
        <v>0.02</v>
      </c>
      <c r="L576">
        <v>13338.62</v>
      </c>
      <c r="M576">
        <v>11212.35</v>
      </c>
      <c r="N576">
        <v>2126.27</v>
      </c>
      <c r="O576" t="s">
        <v>27</v>
      </c>
      <c r="P576" t="s">
        <v>71</v>
      </c>
      <c r="Q576" t="s">
        <v>46</v>
      </c>
      <c r="R576" t="s">
        <v>577</v>
      </c>
      <c r="S576">
        <v>8</v>
      </c>
      <c r="T576" t="s">
        <v>550</v>
      </c>
      <c r="U576">
        <v>0.15940704510661521</v>
      </c>
    </row>
    <row r="577" spans="1:21">
      <c r="A577">
        <v>519</v>
      </c>
      <c r="B577" s="1">
        <v>45875</v>
      </c>
      <c r="C577" t="s">
        <v>303</v>
      </c>
      <c r="D577" t="s">
        <v>68</v>
      </c>
      <c r="E577" t="s">
        <v>54</v>
      </c>
      <c r="F577" t="s">
        <v>127</v>
      </c>
      <c r="G577" t="s">
        <v>66</v>
      </c>
      <c r="H577" t="s">
        <v>51</v>
      </c>
      <c r="I577">
        <v>1</v>
      </c>
      <c r="J577">
        <v>1951.03</v>
      </c>
      <c r="K577">
        <v>0.05</v>
      </c>
      <c r="L577">
        <v>1853.48</v>
      </c>
      <c r="M577">
        <v>1650.23</v>
      </c>
      <c r="N577">
        <v>203.25</v>
      </c>
      <c r="O577" t="s">
        <v>38</v>
      </c>
      <c r="P577" t="s">
        <v>71</v>
      </c>
      <c r="Q577" t="s">
        <v>29</v>
      </c>
      <c r="R577" t="s">
        <v>577</v>
      </c>
      <c r="S577">
        <v>8</v>
      </c>
      <c r="T577" t="s">
        <v>550</v>
      </c>
      <c r="U577">
        <v>0.10965858816928156</v>
      </c>
    </row>
    <row r="578" spans="1:21">
      <c r="A578">
        <v>684</v>
      </c>
      <c r="B578" s="1">
        <v>45875</v>
      </c>
      <c r="C578" t="s">
        <v>123</v>
      </c>
      <c r="D578" t="s">
        <v>92</v>
      </c>
      <c r="E578" t="s">
        <v>23</v>
      </c>
      <c r="F578" t="s">
        <v>58</v>
      </c>
      <c r="G578" t="s">
        <v>59</v>
      </c>
      <c r="H578" t="s">
        <v>37</v>
      </c>
      <c r="I578">
        <v>2</v>
      </c>
      <c r="J578">
        <v>15758.56</v>
      </c>
      <c r="K578">
        <v>0.15</v>
      </c>
      <c r="L578">
        <v>26789.55</v>
      </c>
      <c r="M578">
        <v>24425.03</v>
      </c>
      <c r="N578">
        <v>2364.52</v>
      </c>
      <c r="O578" t="s">
        <v>27</v>
      </c>
      <c r="P578" t="s">
        <v>71</v>
      </c>
      <c r="Q578" t="s">
        <v>29</v>
      </c>
      <c r="R578" t="s">
        <v>577</v>
      </c>
      <c r="S578">
        <v>8</v>
      </c>
      <c r="T578" t="s">
        <v>550</v>
      </c>
      <c r="U578">
        <v>8.8262774104081634E-2</v>
      </c>
    </row>
    <row r="579" spans="1:21">
      <c r="A579">
        <v>10</v>
      </c>
      <c r="B579" s="1">
        <v>45875</v>
      </c>
      <c r="C579" t="s">
        <v>357</v>
      </c>
      <c r="D579" t="s">
        <v>238</v>
      </c>
      <c r="E579" t="s">
        <v>23</v>
      </c>
      <c r="F579" t="s">
        <v>43</v>
      </c>
      <c r="G579" t="s">
        <v>44</v>
      </c>
      <c r="H579" t="s">
        <v>26</v>
      </c>
      <c r="I579">
        <v>4</v>
      </c>
      <c r="J579">
        <v>62658.54</v>
      </c>
      <c r="K579">
        <v>0.05</v>
      </c>
      <c r="L579">
        <v>238102.45</v>
      </c>
      <c r="M579">
        <v>204969.65</v>
      </c>
      <c r="N579">
        <v>33132.800000000003</v>
      </c>
      <c r="O579" t="s">
        <v>38</v>
      </c>
      <c r="P579" t="s">
        <v>45</v>
      </c>
      <c r="Q579" t="s">
        <v>40</v>
      </c>
      <c r="R579" t="s">
        <v>577</v>
      </c>
      <c r="S579">
        <v>8</v>
      </c>
      <c r="T579" t="s">
        <v>550</v>
      </c>
      <c r="U579">
        <v>0.13915354503912078</v>
      </c>
    </row>
    <row r="580" spans="1:21">
      <c r="A580">
        <v>619</v>
      </c>
      <c r="B580" s="1">
        <v>45875</v>
      </c>
      <c r="C580" t="s">
        <v>160</v>
      </c>
      <c r="D580" t="s">
        <v>455</v>
      </c>
      <c r="E580" t="s">
        <v>34</v>
      </c>
      <c r="F580" t="s">
        <v>86</v>
      </c>
      <c r="G580" t="s">
        <v>99</v>
      </c>
      <c r="H580" t="s">
        <v>26</v>
      </c>
      <c r="I580">
        <v>2</v>
      </c>
      <c r="J580">
        <v>29544.95</v>
      </c>
      <c r="K580">
        <v>0.05</v>
      </c>
      <c r="L580">
        <v>56135.4</v>
      </c>
      <c r="M580">
        <v>41323.1</v>
      </c>
      <c r="N580">
        <v>14812.3</v>
      </c>
      <c r="O580" t="s">
        <v>38</v>
      </c>
      <c r="P580" t="s">
        <v>28</v>
      </c>
      <c r="Q580" t="s">
        <v>46</v>
      </c>
      <c r="R580" t="s">
        <v>577</v>
      </c>
      <c r="S580">
        <v>8</v>
      </c>
      <c r="T580" t="s">
        <v>550</v>
      </c>
      <c r="U580">
        <v>0.26386736355312335</v>
      </c>
    </row>
    <row r="581" spans="1:21">
      <c r="A581">
        <v>82</v>
      </c>
      <c r="B581" s="1">
        <v>45875</v>
      </c>
      <c r="C581" t="s">
        <v>205</v>
      </c>
      <c r="D581" t="s">
        <v>586</v>
      </c>
      <c r="E581" t="s">
        <v>54</v>
      </c>
      <c r="F581" t="s">
        <v>55</v>
      </c>
      <c r="G581" t="s">
        <v>66</v>
      </c>
      <c r="H581" t="s">
        <v>51</v>
      </c>
      <c r="I581">
        <v>3</v>
      </c>
      <c r="J581">
        <v>1790.56</v>
      </c>
      <c r="K581">
        <v>0.02</v>
      </c>
      <c r="L581">
        <v>5264.25</v>
      </c>
      <c r="M581">
        <v>4653.45</v>
      </c>
      <c r="N581">
        <v>610.79999999999995</v>
      </c>
      <c r="O581" t="s">
        <v>27</v>
      </c>
      <c r="P581" t="s">
        <v>45</v>
      </c>
      <c r="Q581" t="s">
        <v>29</v>
      </c>
      <c r="R581" t="s">
        <v>577</v>
      </c>
      <c r="S581">
        <v>8</v>
      </c>
      <c r="T581" t="s">
        <v>550</v>
      </c>
      <c r="U581">
        <v>0.1160279242057273</v>
      </c>
    </row>
    <row r="582" spans="1:21">
      <c r="A582">
        <v>540</v>
      </c>
      <c r="B582" s="1">
        <v>45876</v>
      </c>
      <c r="C582" t="s">
        <v>254</v>
      </c>
      <c r="D582" t="s">
        <v>587</v>
      </c>
      <c r="E582" t="s">
        <v>97</v>
      </c>
      <c r="F582" t="s">
        <v>148</v>
      </c>
      <c r="G582" t="s">
        <v>62</v>
      </c>
      <c r="H582" t="s">
        <v>63</v>
      </c>
      <c r="I582">
        <v>3</v>
      </c>
      <c r="J582">
        <v>204.55</v>
      </c>
      <c r="K582">
        <v>0</v>
      </c>
      <c r="L582">
        <v>613.65</v>
      </c>
      <c r="M582">
        <v>523.09</v>
      </c>
      <c r="N582">
        <v>90.56</v>
      </c>
      <c r="O582" t="s">
        <v>38</v>
      </c>
      <c r="P582" t="s">
        <v>78</v>
      </c>
      <c r="Q582" t="s">
        <v>40</v>
      </c>
      <c r="R582" t="s">
        <v>577</v>
      </c>
      <c r="S582">
        <v>8</v>
      </c>
      <c r="T582" t="s">
        <v>550</v>
      </c>
      <c r="U582">
        <v>0.14757597979304166</v>
      </c>
    </row>
    <row r="583" spans="1:21">
      <c r="A583">
        <v>370</v>
      </c>
      <c r="B583" s="1">
        <v>45876</v>
      </c>
      <c r="C583" t="s">
        <v>193</v>
      </c>
      <c r="D583" t="s">
        <v>588</v>
      </c>
      <c r="E583" t="s">
        <v>54</v>
      </c>
      <c r="F583" t="s">
        <v>127</v>
      </c>
      <c r="G583" t="s">
        <v>44</v>
      </c>
      <c r="H583" t="s">
        <v>26</v>
      </c>
      <c r="I583">
        <v>1</v>
      </c>
      <c r="J583">
        <v>62024.39</v>
      </c>
      <c r="K583">
        <v>0.02</v>
      </c>
      <c r="L583">
        <v>60783.9</v>
      </c>
      <c r="M583">
        <v>42278.43</v>
      </c>
      <c r="N583">
        <v>18505.47</v>
      </c>
      <c r="O583" t="s">
        <v>27</v>
      </c>
      <c r="P583" t="s">
        <v>39</v>
      </c>
      <c r="Q583" t="s">
        <v>40</v>
      </c>
      <c r="R583" t="s">
        <v>577</v>
      </c>
      <c r="S583">
        <v>8</v>
      </c>
      <c r="T583" t="s">
        <v>550</v>
      </c>
      <c r="U583">
        <v>0.30444690123536006</v>
      </c>
    </row>
    <row r="584" spans="1:21">
      <c r="A584">
        <v>255</v>
      </c>
      <c r="B584" s="1">
        <v>45876</v>
      </c>
      <c r="C584" t="s">
        <v>185</v>
      </c>
      <c r="D584" t="s">
        <v>587</v>
      </c>
      <c r="E584" t="s">
        <v>23</v>
      </c>
      <c r="F584" t="s">
        <v>43</v>
      </c>
      <c r="G584" t="s">
        <v>25</v>
      </c>
      <c r="H584" t="s">
        <v>26</v>
      </c>
      <c r="I584">
        <v>1</v>
      </c>
      <c r="J584">
        <v>11796.29</v>
      </c>
      <c r="K584">
        <v>0.05</v>
      </c>
      <c r="L584">
        <v>11206.48</v>
      </c>
      <c r="M584">
        <v>10057.02</v>
      </c>
      <c r="N584">
        <v>1149.46</v>
      </c>
      <c r="O584" t="s">
        <v>38</v>
      </c>
      <c r="P584" t="s">
        <v>78</v>
      </c>
      <c r="Q584" t="s">
        <v>46</v>
      </c>
      <c r="R584" t="s">
        <v>577</v>
      </c>
      <c r="S584">
        <v>8</v>
      </c>
      <c r="T584" t="s">
        <v>550</v>
      </c>
      <c r="U584">
        <v>0.10257101248563331</v>
      </c>
    </row>
    <row r="585" spans="1:21">
      <c r="A585">
        <v>386</v>
      </c>
      <c r="B585" s="1">
        <v>45877</v>
      </c>
      <c r="C585" t="s">
        <v>240</v>
      </c>
      <c r="D585" t="s">
        <v>540</v>
      </c>
      <c r="E585" t="s">
        <v>54</v>
      </c>
      <c r="F585" t="s">
        <v>55</v>
      </c>
      <c r="G585" t="s">
        <v>50</v>
      </c>
      <c r="H585" t="s">
        <v>51</v>
      </c>
      <c r="I585">
        <v>2</v>
      </c>
      <c r="J585">
        <v>938.75</v>
      </c>
      <c r="K585">
        <v>0.02</v>
      </c>
      <c r="L585">
        <v>1839.95</v>
      </c>
      <c r="M585">
        <v>1549.44</v>
      </c>
      <c r="N585">
        <v>290.51</v>
      </c>
      <c r="O585" t="s">
        <v>38</v>
      </c>
      <c r="P585" t="s">
        <v>45</v>
      </c>
      <c r="Q585" t="s">
        <v>29</v>
      </c>
      <c r="R585" t="s">
        <v>577</v>
      </c>
      <c r="S585">
        <v>8</v>
      </c>
      <c r="T585" t="s">
        <v>550</v>
      </c>
      <c r="U585">
        <v>0.15789016005869724</v>
      </c>
    </row>
    <row r="586" spans="1:21">
      <c r="A586">
        <v>466</v>
      </c>
      <c r="B586" s="1">
        <v>45877</v>
      </c>
      <c r="C586" t="s">
        <v>128</v>
      </c>
      <c r="D586" t="s">
        <v>569</v>
      </c>
      <c r="E586" t="s">
        <v>34</v>
      </c>
      <c r="F586" t="s">
        <v>35</v>
      </c>
      <c r="G586" t="s">
        <v>44</v>
      </c>
      <c r="H586" t="s">
        <v>26</v>
      </c>
      <c r="I586">
        <v>1</v>
      </c>
      <c r="J586">
        <v>58649.16</v>
      </c>
      <c r="K586">
        <v>0.15</v>
      </c>
      <c r="L586">
        <v>49851.79</v>
      </c>
      <c r="M586">
        <v>42891.76</v>
      </c>
      <c r="N586">
        <v>6960.03</v>
      </c>
      <c r="O586" t="s">
        <v>38</v>
      </c>
      <c r="P586" t="s">
        <v>45</v>
      </c>
      <c r="Q586" t="s">
        <v>46</v>
      </c>
      <c r="R586" t="s">
        <v>577</v>
      </c>
      <c r="S586">
        <v>8</v>
      </c>
      <c r="T586" t="s">
        <v>550</v>
      </c>
      <c r="U586">
        <v>0.13961444513827889</v>
      </c>
    </row>
    <row r="587" spans="1:21">
      <c r="A587">
        <v>872</v>
      </c>
      <c r="B587" s="1">
        <v>45877</v>
      </c>
      <c r="C587" t="s">
        <v>574</v>
      </c>
      <c r="D587" t="s">
        <v>234</v>
      </c>
      <c r="E587" t="s">
        <v>23</v>
      </c>
      <c r="F587" t="s">
        <v>43</v>
      </c>
      <c r="G587" t="s">
        <v>69</v>
      </c>
      <c r="H587" t="s">
        <v>70</v>
      </c>
      <c r="I587">
        <v>2</v>
      </c>
      <c r="J587">
        <v>3281.4</v>
      </c>
      <c r="K587">
        <v>0.15</v>
      </c>
      <c r="L587">
        <v>5578.38</v>
      </c>
      <c r="M587">
        <v>4833.6499999999996</v>
      </c>
      <c r="N587">
        <v>744.73</v>
      </c>
      <c r="O587" t="s">
        <v>27</v>
      </c>
      <c r="P587" t="s">
        <v>39</v>
      </c>
      <c r="Q587" t="s">
        <v>40</v>
      </c>
      <c r="R587" t="s">
        <v>577</v>
      </c>
      <c r="S587">
        <v>8</v>
      </c>
      <c r="T587" t="s">
        <v>550</v>
      </c>
      <c r="U587">
        <v>0.13350291661736921</v>
      </c>
    </row>
    <row r="588" spans="1:21">
      <c r="A588">
        <v>429</v>
      </c>
      <c r="B588" s="1">
        <v>45877</v>
      </c>
      <c r="C588" t="s">
        <v>589</v>
      </c>
      <c r="D588" t="s">
        <v>217</v>
      </c>
      <c r="E588" t="s">
        <v>34</v>
      </c>
      <c r="F588" t="s">
        <v>35</v>
      </c>
      <c r="G588" t="s">
        <v>105</v>
      </c>
      <c r="H588" t="s">
        <v>26</v>
      </c>
      <c r="I588">
        <v>3</v>
      </c>
      <c r="J588">
        <v>5887.31</v>
      </c>
      <c r="K588">
        <v>0.1</v>
      </c>
      <c r="L588">
        <v>15895.74</v>
      </c>
      <c r="M588">
        <v>12363.71</v>
      </c>
      <c r="N588">
        <v>3532.03</v>
      </c>
      <c r="O588" t="s">
        <v>27</v>
      </c>
      <c r="P588" t="s">
        <v>39</v>
      </c>
      <c r="Q588" t="s">
        <v>40</v>
      </c>
      <c r="R588" t="s">
        <v>577</v>
      </c>
      <c r="S588">
        <v>8</v>
      </c>
      <c r="T588" t="s">
        <v>550</v>
      </c>
      <c r="U588">
        <v>0.22219978434473642</v>
      </c>
    </row>
    <row r="589" spans="1:21">
      <c r="A589">
        <v>375</v>
      </c>
      <c r="B589" s="1">
        <v>45878</v>
      </c>
      <c r="C589" t="s">
        <v>189</v>
      </c>
      <c r="D589" t="s">
        <v>75</v>
      </c>
      <c r="E589" t="s">
        <v>34</v>
      </c>
      <c r="F589" t="s">
        <v>49</v>
      </c>
      <c r="G589" t="s">
        <v>105</v>
      </c>
      <c r="H589" t="s">
        <v>26</v>
      </c>
      <c r="I589">
        <v>1</v>
      </c>
      <c r="J589">
        <v>6305.23</v>
      </c>
      <c r="K589">
        <v>0</v>
      </c>
      <c r="L589">
        <v>6305.23</v>
      </c>
      <c r="M589">
        <v>4254.79</v>
      </c>
      <c r="N589">
        <v>2050.44</v>
      </c>
      <c r="O589" t="s">
        <v>27</v>
      </c>
      <c r="P589" t="s">
        <v>45</v>
      </c>
      <c r="Q589" t="s">
        <v>40</v>
      </c>
      <c r="R589" t="s">
        <v>577</v>
      </c>
      <c r="S589">
        <v>8</v>
      </c>
      <c r="T589" t="s">
        <v>550</v>
      </c>
      <c r="U589">
        <v>0.32519670178566051</v>
      </c>
    </row>
    <row r="590" spans="1:21">
      <c r="A590">
        <v>643</v>
      </c>
      <c r="B590" s="1">
        <v>45878</v>
      </c>
      <c r="C590" t="s">
        <v>521</v>
      </c>
      <c r="D590" t="s">
        <v>236</v>
      </c>
      <c r="E590" t="s">
        <v>54</v>
      </c>
      <c r="F590" t="s">
        <v>108</v>
      </c>
      <c r="G590" t="s">
        <v>62</v>
      </c>
      <c r="H590" t="s">
        <v>63</v>
      </c>
      <c r="I590">
        <v>1</v>
      </c>
      <c r="J590">
        <v>351.55</v>
      </c>
      <c r="K590">
        <v>0.1</v>
      </c>
      <c r="L590">
        <v>316.39999999999998</v>
      </c>
      <c r="M590">
        <v>284.54000000000002</v>
      </c>
      <c r="N590">
        <v>31.86</v>
      </c>
      <c r="O590" t="s">
        <v>27</v>
      </c>
      <c r="P590" t="s">
        <v>28</v>
      </c>
      <c r="Q590" t="s">
        <v>29</v>
      </c>
      <c r="R590" t="s">
        <v>577</v>
      </c>
      <c r="S590">
        <v>8</v>
      </c>
      <c r="T590" t="s">
        <v>550</v>
      </c>
      <c r="U590">
        <v>0.10069532237673831</v>
      </c>
    </row>
    <row r="591" spans="1:21">
      <c r="A591">
        <v>123</v>
      </c>
      <c r="B591" s="1">
        <v>45879</v>
      </c>
      <c r="C591" t="s">
        <v>427</v>
      </c>
      <c r="D591" t="s">
        <v>259</v>
      </c>
      <c r="E591" t="s">
        <v>23</v>
      </c>
      <c r="F591" t="s">
        <v>24</v>
      </c>
      <c r="G591" t="s">
        <v>59</v>
      </c>
      <c r="H591" t="s">
        <v>37</v>
      </c>
      <c r="I591">
        <v>1</v>
      </c>
      <c r="J591">
        <v>12036.47</v>
      </c>
      <c r="K591">
        <v>0.1</v>
      </c>
      <c r="L591">
        <v>10832.82</v>
      </c>
      <c r="M591">
        <v>9442.39</v>
      </c>
      <c r="N591">
        <v>1390.43</v>
      </c>
      <c r="O591" t="s">
        <v>27</v>
      </c>
      <c r="P591" t="s">
        <v>78</v>
      </c>
      <c r="Q591" t="s">
        <v>40</v>
      </c>
      <c r="R591" t="s">
        <v>577</v>
      </c>
      <c r="S591">
        <v>8</v>
      </c>
      <c r="T591" t="s">
        <v>550</v>
      </c>
      <c r="U591">
        <v>0.12835346659503252</v>
      </c>
    </row>
    <row r="592" spans="1:21">
      <c r="A592">
        <v>35</v>
      </c>
      <c r="B592" s="1">
        <v>45879</v>
      </c>
      <c r="C592" t="s">
        <v>590</v>
      </c>
      <c r="D592" t="s">
        <v>333</v>
      </c>
      <c r="E592" t="s">
        <v>54</v>
      </c>
      <c r="F592" t="s">
        <v>108</v>
      </c>
      <c r="G592" t="s">
        <v>66</v>
      </c>
      <c r="H592" t="s">
        <v>51</v>
      </c>
      <c r="I592">
        <v>4</v>
      </c>
      <c r="J592">
        <v>2178.1999999999998</v>
      </c>
      <c r="K592">
        <v>0.1</v>
      </c>
      <c r="L592">
        <v>7841.52</v>
      </c>
      <c r="M592">
        <v>5794.3</v>
      </c>
      <c r="N592">
        <v>2047.22</v>
      </c>
      <c r="O592" t="s">
        <v>27</v>
      </c>
      <c r="P592" t="s">
        <v>71</v>
      </c>
      <c r="Q592" t="s">
        <v>40</v>
      </c>
      <c r="R592" t="s">
        <v>577</v>
      </c>
      <c r="S592">
        <v>8</v>
      </c>
      <c r="T592" t="s">
        <v>550</v>
      </c>
      <c r="U592">
        <v>0.26107438353788548</v>
      </c>
    </row>
    <row r="593" spans="1:21">
      <c r="A593">
        <v>997</v>
      </c>
      <c r="B593" s="1">
        <v>45879</v>
      </c>
      <c r="C593" t="s">
        <v>72</v>
      </c>
      <c r="D593" t="s">
        <v>243</v>
      </c>
      <c r="E593" t="s">
        <v>54</v>
      </c>
      <c r="F593" t="s">
        <v>127</v>
      </c>
      <c r="G593" t="s">
        <v>69</v>
      </c>
      <c r="H593" t="s">
        <v>70</v>
      </c>
      <c r="I593">
        <v>2</v>
      </c>
      <c r="J593">
        <v>1919.79</v>
      </c>
      <c r="K593">
        <v>0</v>
      </c>
      <c r="L593">
        <v>3839.58</v>
      </c>
      <c r="M593">
        <v>3164.08</v>
      </c>
      <c r="N593">
        <v>675.5</v>
      </c>
      <c r="O593" t="s">
        <v>27</v>
      </c>
      <c r="P593" t="s">
        <v>28</v>
      </c>
      <c r="Q593" t="s">
        <v>29</v>
      </c>
      <c r="R593" t="s">
        <v>577</v>
      </c>
      <c r="S593">
        <v>8</v>
      </c>
      <c r="T593" t="s">
        <v>550</v>
      </c>
      <c r="U593">
        <v>0.17593070075372827</v>
      </c>
    </row>
    <row r="594" spans="1:21">
      <c r="A594">
        <v>58</v>
      </c>
      <c r="B594" s="1">
        <v>45879</v>
      </c>
      <c r="C594" t="s">
        <v>301</v>
      </c>
      <c r="D594" t="s">
        <v>247</v>
      </c>
      <c r="E594" t="s">
        <v>23</v>
      </c>
      <c r="F594" t="s">
        <v>43</v>
      </c>
      <c r="G594" t="s">
        <v>134</v>
      </c>
      <c r="H594" t="s">
        <v>26</v>
      </c>
      <c r="I594">
        <v>3</v>
      </c>
      <c r="J594">
        <v>49530.720000000001</v>
      </c>
      <c r="K594">
        <v>0.1</v>
      </c>
      <c r="L594">
        <v>133732.94</v>
      </c>
      <c r="M594">
        <v>113798.39999999999</v>
      </c>
      <c r="N594">
        <v>19934.54</v>
      </c>
      <c r="O594" t="s">
        <v>38</v>
      </c>
      <c r="P594" t="s">
        <v>71</v>
      </c>
      <c r="Q594" t="s">
        <v>29</v>
      </c>
      <c r="R594" t="s">
        <v>577</v>
      </c>
      <c r="S594">
        <v>8</v>
      </c>
      <c r="T594" t="s">
        <v>550</v>
      </c>
      <c r="U594">
        <v>0.14906230282531738</v>
      </c>
    </row>
    <row r="595" spans="1:21">
      <c r="A595">
        <v>800</v>
      </c>
      <c r="B595" s="1">
        <v>45880</v>
      </c>
      <c r="C595" t="s">
        <v>583</v>
      </c>
      <c r="D595" t="s">
        <v>489</v>
      </c>
      <c r="E595" t="s">
        <v>76</v>
      </c>
      <c r="F595" t="s">
        <v>77</v>
      </c>
      <c r="G595" t="s">
        <v>66</v>
      </c>
      <c r="H595" t="s">
        <v>51</v>
      </c>
      <c r="I595">
        <v>2</v>
      </c>
      <c r="J595">
        <v>1967.36</v>
      </c>
      <c r="K595">
        <v>0</v>
      </c>
      <c r="L595">
        <v>3934.72</v>
      </c>
      <c r="M595">
        <v>3341.74</v>
      </c>
      <c r="N595">
        <v>592.98</v>
      </c>
      <c r="O595" t="s">
        <v>38</v>
      </c>
      <c r="P595" t="s">
        <v>78</v>
      </c>
      <c r="Q595" t="s">
        <v>29</v>
      </c>
      <c r="R595" t="s">
        <v>577</v>
      </c>
      <c r="S595">
        <v>8</v>
      </c>
      <c r="T595" t="s">
        <v>550</v>
      </c>
      <c r="U595">
        <v>0.15070449739752767</v>
      </c>
    </row>
    <row r="596" spans="1:21">
      <c r="A596">
        <v>710</v>
      </c>
      <c r="B596" s="1">
        <v>45880</v>
      </c>
      <c r="C596" t="s">
        <v>591</v>
      </c>
      <c r="D596" t="s">
        <v>592</v>
      </c>
      <c r="E596" t="s">
        <v>54</v>
      </c>
      <c r="F596" t="s">
        <v>108</v>
      </c>
      <c r="G596" t="s">
        <v>145</v>
      </c>
      <c r="H596" t="s">
        <v>70</v>
      </c>
      <c r="I596">
        <v>1</v>
      </c>
      <c r="J596">
        <v>1592.47</v>
      </c>
      <c r="K596">
        <v>0.1</v>
      </c>
      <c r="L596">
        <v>1433.22</v>
      </c>
      <c r="M596">
        <v>1167.8699999999999</v>
      </c>
      <c r="N596">
        <v>265.35000000000002</v>
      </c>
      <c r="O596" t="s">
        <v>27</v>
      </c>
      <c r="P596" t="s">
        <v>28</v>
      </c>
      <c r="Q596" t="s">
        <v>46</v>
      </c>
      <c r="R596" t="s">
        <v>577</v>
      </c>
      <c r="S596">
        <v>8</v>
      </c>
      <c r="T596" t="s">
        <v>550</v>
      </c>
      <c r="U596">
        <v>0.18514254615481227</v>
      </c>
    </row>
    <row r="597" spans="1:21">
      <c r="A597">
        <v>407</v>
      </c>
      <c r="B597" s="1">
        <v>45881</v>
      </c>
      <c r="C597" t="s">
        <v>166</v>
      </c>
      <c r="D597" t="s">
        <v>593</v>
      </c>
      <c r="E597" t="s">
        <v>54</v>
      </c>
      <c r="F597" t="s">
        <v>127</v>
      </c>
      <c r="G597" t="s">
        <v>99</v>
      </c>
      <c r="H597" t="s">
        <v>26</v>
      </c>
      <c r="I597">
        <v>4</v>
      </c>
      <c r="J597">
        <v>24412.01</v>
      </c>
      <c r="K597">
        <v>0.1</v>
      </c>
      <c r="L597">
        <v>87883.24</v>
      </c>
      <c r="M597">
        <v>70893.070000000007</v>
      </c>
      <c r="N597">
        <v>16990.169999999998</v>
      </c>
      <c r="O597" t="s">
        <v>38</v>
      </c>
      <c r="P597" t="s">
        <v>78</v>
      </c>
      <c r="Q597" t="s">
        <v>40</v>
      </c>
      <c r="R597" t="s">
        <v>577</v>
      </c>
      <c r="S597">
        <v>8</v>
      </c>
      <c r="T597" t="s">
        <v>550</v>
      </c>
      <c r="U597">
        <v>0.19332662291467631</v>
      </c>
    </row>
    <row r="598" spans="1:21">
      <c r="A598">
        <v>256</v>
      </c>
      <c r="B598" s="1">
        <v>45882</v>
      </c>
      <c r="C598" t="s">
        <v>246</v>
      </c>
      <c r="D598" t="s">
        <v>429</v>
      </c>
      <c r="E598" t="s">
        <v>76</v>
      </c>
      <c r="F598" t="s">
        <v>81</v>
      </c>
      <c r="G598" t="s">
        <v>25</v>
      </c>
      <c r="H598" t="s">
        <v>26</v>
      </c>
      <c r="I598">
        <v>2</v>
      </c>
      <c r="J598">
        <v>6951.55</v>
      </c>
      <c r="K598">
        <v>0</v>
      </c>
      <c r="L598">
        <v>13903.1</v>
      </c>
      <c r="M598">
        <v>10934.11</v>
      </c>
      <c r="N598">
        <v>2968.99</v>
      </c>
      <c r="O598" t="s">
        <v>27</v>
      </c>
      <c r="P598" t="s">
        <v>39</v>
      </c>
      <c r="Q598" t="s">
        <v>46</v>
      </c>
      <c r="R598" t="s">
        <v>577</v>
      </c>
      <c r="S598">
        <v>8</v>
      </c>
      <c r="T598" t="s">
        <v>550</v>
      </c>
      <c r="U598">
        <v>0.2135487768914846</v>
      </c>
    </row>
    <row r="599" spans="1:21">
      <c r="A599">
        <v>401</v>
      </c>
      <c r="B599" s="1">
        <v>45883</v>
      </c>
      <c r="C599" t="s">
        <v>594</v>
      </c>
      <c r="D599" t="s">
        <v>595</v>
      </c>
      <c r="E599" t="s">
        <v>34</v>
      </c>
      <c r="F599" t="s">
        <v>49</v>
      </c>
      <c r="G599" t="s">
        <v>59</v>
      </c>
      <c r="H599" t="s">
        <v>37</v>
      </c>
      <c r="I599">
        <v>1</v>
      </c>
      <c r="J599">
        <v>15464.53</v>
      </c>
      <c r="K599">
        <v>0.05</v>
      </c>
      <c r="L599">
        <v>14691.3</v>
      </c>
      <c r="M599">
        <v>12010.32</v>
      </c>
      <c r="N599">
        <v>2680.98</v>
      </c>
      <c r="O599" t="s">
        <v>38</v>
      </c>
      <c r="P599" t="s">
        <v>39</v>
      </c>
      <c r="Q599" t="s">
        <v>29</v>
      </c>
      <c r="R599" t="s">
        <v>577</v>
      </c>
      <c r="S599">
        <v>8</v>
      </c>
      <c r="T599" t="s">
        <v>550</v>
      </c>
      <c r="U599">
        <v>0.18248759469890344</v>
      </c>
    </row>
    <row r="600" spans="1:21">
      <c r="A600">
        <v>911</v>
      </c>
      <c r="B600" s="1">
        <v>45883</v>
      </c>
      <c r="C600" t="s">
        <v>596</v>
      </c>
      <c r="D600" t="s">
        <v>302</v>
      </c>
      <c r="E600" t="s">
        <v>76</v>
      </c>
      <c r="F600" t="s">
        <v>81</v>
      </c>
      <c r="G600" t="s">
        <v>36</v>
      </c>
      <c r="H600" t="s">
        <v>37</v>
      </c>
      <c r="I600">
        <v>3</v>
      </c>
      <c r="J600">
        <v>13142.65</v>
      </c>
      <c r="K600">
        <v>0.15</v>
      </c>
      <c r="L600">
        <v>33513.760000000002</v>
      </c>
      <c r="M600">
        <v>33416.43</v>
      </c>
      <c r="N600">
        <v>97.33</v>
      </c>
      <c r="O600" t="s">
        <v>38</v>
      </c>
      <c r="P600" t="s">
        <v>45</v>
      </c>
      <c r="Q600" t="s">
        <v>40</v>
      </c>
      <c r="R600" t="s">
        <v>577</v>
      </c>
      <c r="S600">
        <v>8</v>
      </c>
      <c r="T600" t="s">
        <v>550</v>
      </c>
      <c r="U600">
        <v>2.9041802531258802E-3</v>
      </c>
    </row>
    <row r="601" spans="1:21">
      <c r="A601">
        <v>881</v>
      </c>
      <c r="B601" s="1">
        <v>45883</v>
      </c>
      <c r="C601" t="s">
        <v>419</v>
      </c>
      <c r="D601" t="s">
        <v>434</v>
      </c>
      <c r="E601" t="s">
        <v>54</v>
      </c>
      <c r="F601" t="s">
        <v>127</v>
      </c>
      <c r="G601" t="s">
        <v>50</v>
      </c>
      <c r="H601" t="s">
        <v>51</v>
      </c>
      <c r="I601">
        <v>1</v>
      </c>
      <c r="J601">
        <v>1221.56</v>
      </c>
      <c r="K601">
        <v>0.1</v>
      </c>
      <c r="L601">
        <v>1099.4000000000001</v>
      </c>
      <c r="M601">
        <v>916.03</v>
      </c>
      <c r="N601">
        <v>183.37</v>
      </c>
      <c r="O601" t="s">
        <v>38</v>
      </c>
      <c r="P601" t="s">
        <v>78</v>
      </c>
      <c r="Q601" t="s">
        <v>46</v>
      </c>
      <c r="R601" t="s">
        <v>577</v>
      </c>
      <c r="S601">
        <v>8</v>
      </c>
      <c r="T601" t="s">
        <v>550</v>
      </c>
      <c r="U601">
        <v>0.16679097689648897</v>
      </c>
    </row>
    <row r="602" spans="1:21">
      <c r="A602">
        <v>639</v>
      </c>
      <c r="B602" s="1">
        <v>45883</v>
      </c>
      <c r="C602" t="s">
        <v>377</v>
      </c>
      <c r="D602" t="s">
        <v>232</v>
      </c>
      <c r="E602" t="s">
        <v>23</v>
      </c>
      <c r="F602" t="s">
        <v>24</v>
      </c>
      <c r="G602" t="s">
        <v>134</v>
      </c>
      <c r="H602" t="s">
        <v>26</v>
      </c>
      <c r="I602">
        <v>1</v>
      </c>
      <c r="J602">
        <v>52349.78</v>
      </c>
      <c r="K602">
        <v>0.15</v>
      </c>
      <c r="L602">
        <v>44497.31</v>
      </c>
      <c r="M602">
        <v>39934.879999999997</v>
      </c>
      <c r="N602">
        <v>4562.43</v>
      </c>
      <c r="O602" t="s">
        <v>27</v>
      </c>
      <c r="P602" t="s">
        <v>71</v>
      </c>
      <c r="Q602" t="s">
        <v>40</v>
      </c>
      <c r="R602" t="s">
        <v>577</v>
      </c>
      <c r="S602">
        <v>8</v>
      </c>
      <c r="T602" t="s">
        <v>550</v>
      </c>
      <c r="U602">
        <v>0.1025327148989456</v>
      </c>
    </row>
    <row r="603" spans="1:21">
      <c r="A603">
        <v>117</v>
      </c>
      <c r="B603" s="1">
        <v>45883</v>
      </c>
      <c r="C603" t="s">
        <v>597</v>
      </c>
      <c r="D603" t="s">
        <v>547</v>
      </c>
      <c r="E603" t="s">
        <v>34</v>
      </c>
      <c r="F603" t="s">
        <v>49</v>
      </c>
      <c r="G603" t="s">
        <v>25</v>
      </c>
      <c r="H603" t="s">
        <v>26</v>
      </c>
      <c r="I603">
        <v>1</v>
      </c>
      <c r="J603">
        <v>11264.82</v>
      </c>
      <c r="K603">
        <v>0.15</v>
      </c>
      <c r="L603">
        <v>9575.1</v>
      </c>
      <c r="M603">
        <v>9137.52</v>
      </c>
      <c r="N603">
        <v>437.58</v>
      </c>
      <c r="O603" t="s">
        <v>27</v>
      </c>
      <c r="P603" t="s">
        <v>39</v>
      </c>
      <c r="Q603" t="s">
        <v>29</v>
      </c>
      <c r="R603" t="s">
        <v>577</v>
      </c>
      <c r="S603">
        <v>8</v>
      </c>
      <c r="T603" t="s">
        <v>550</v>
      </c>
      <c r="U603">
        <v>4.5699783814268258E-2</v>
      </c>
    </row>
    <row r="604" spans="1:21">
      <c r="A604">
        <v>40</v>
      </c>
      <c r="B604" s="1">
        <v>45884</v>
      </c>
      <c r="C604" t="s">
        <v>351</v>
      </c>
      <c r="D604" t="s">
        <v>595</v>
      </c>
      <c r="E604" t="s">
        <v>76</v>
      </c>
      <c r="F604" t="s">
        <v>113</v>
      </c>
      <c r="G604" t="s">
        <v>25</v>
      </c>
      <c r="H604" t="s">
        <v>26</v>
      </c>
      <c r="I604">
        <v>2</v>
      </c>
      <c r="J604">
        <v>14767.55</v>
      </c>
      <c r="K604">
        <v>0</v>
      </c>
      <c r="L604">
        <v>29535.1</v>
      </c>
      <c r="M604">
        <v>22677.5</v>
      </c>
      <c r="N604">
        <v>6857.6</v>
      </c>
      <c r="O604" t="s">
        <v>27</v>
      </c>
      <c r="P604" t="s">
        <v>78</v>
      </c>
      <c r="Q604" t="s">
        <v>40</v>
      </c>
      <c r="R604" t="s">
        <v>577</v>
      </c>
      <c r="S604">
        <v>8</v>
      </c>
      <c r="T604" t="s">
        <v>550</v>
      </c>
      <c r="U604">
        <v>0.23218475644233474</v>
      </c>
    </row>
    <row r="605" spans="1:21">
      <c r="A605">
        <v>616</v>
      </c>
      <c r="B605" s="1">
        <v>45884</v>
      </c>
      <c r="C605" t="s">
        <v>289</v>
      </c>
      <c r="D605" t="s">
        <v>200</v>
      </c>
      <c r="E605" t="s">
        <v>97</v>
      </c>
      <c r="F605" t="s">
        <v>148</v>
      </c>
      <c r="G605" t="s">
        <v>59</v>
      </c>
      <c r="H605" t="s">
        <v>37</v>
      </c>
      <c r="I605">
        <v>2</v>
      </c>
      <c r="J605">
        <v>10432.49</v>
      </c>
      <c r="K605">
        <v>0.1</v>
      </c>
      <c r="L605">
        <v>18778.48</v>
      </c>
      <c r="M605">
        <v>14504.82</v>
      </c>
      <c r="N605">
        <v>4273.66</v>
      </c>
      <c r="O605" t="s">
        <v>38</v>
      </c>
      <c r="P605" t="s">
        <v>28</v>
      </c>
      <c r="Q605" t="s">
        <v>29</v>
      </c>
      <c r="R605" t="s">
        <v>577</v>
      </c>
      <c r="S605">
        <v>8</v>
      </c>
      <c r="T605" t="s">
        <v>550</v>
      </c>
      <c r="U605">
        <v>0.22758285015613616</v>
      </c>
    </row>
    <row r="606" spans="1:21">
      <c r="A606">
        <v>213</v>
      </c>
      <c r="B606" s="1">
        <v>45884</v>
      </c>
      <c r="C606" t="s">
        <v>598</v>
      </c>
      <c r="D606" t="s">
        <v>129</v>
      </c>
      <c r="E606" t="s">
        <v>34</v>
      </c>
      <c r="F606" t="s">
        <v>86</v>
      </c>
      <c r="G606" t="s">
        <v>36</v>
      </c>
      <c r="H606" t="s">
        <v>37</v>
      </c>
      <c r="I606">
        <v>2</v>
      </c>
      <c r="J606">
        <v>9567.18</v>
      </c>
      <c r="K606">
        <v>0</v>
      </c>
      <c r="L606">
        <v>19134.36</v>
      </c>
      <c r="M606">
        <v>13807.15</v>
      </c>
      <c r="N606">
        <v>5327.21</v>
      </c>
      <c r="O606" t="s">
        <v>27</v>
      </c>
      <c r="P606" t="s">
        <v>28</v>
      </c>
      <c r="Q606" t="s">
        <v>46</v>
      </c>
      <c r="R606" t="s">
        <v>577</v>
      </c>
      <c r="S606">
        <v>8</v>
      </c>
      <c r="T606" t="s">
        <v>550</v>
      </c>
      <c r="U606">
        <v>0.27841067064694092</v>
      </c>
    </row>
    <row r="607" spans="1:21">
      <c r="A607">
        <v>746</v>
      </c>
      <c r="B607" s="1">
        <v>45884</v>
      </c>
      <c r="C607" t="s">
        <v>414</v>
      </c>
      <c r="D607" t="s">
        <v>555</v>
      </c>
      <c r="E607" t="s">
        <v>34</v>
      </c>
      <c r="F607" t="s">
        <v>86</v>
      </c>
      <c r="G607" t="s">
        <v>66</v>
      </c>
      <c r="H607" t="s">
        <v>51</v>
      </c>
      <c r="I607">
        <v>2</v>
      </c>
      <c r="J607">
        <v>1514.48</v>
      </c>
      <c r="K607">
        <v>0</v>
      </c>
      <c r="L607">
        <v>3028.96</v>
      </c>
      <c r="M607">
        <v>2026.31</v>
      </c>
      <c r="N607">
        <v>1002.65</v>
      </c>
      <c r="O607" t="s">
        <v>38</v>
      </c>
      <c r="P607" t="s">
        <v>45</v>
      </c>
      <c r="Q607" t="s">
        <v>46</v>
      </c>
      <c r="R607" t="s">
        <v>577</v>
      </c>
      <c r="S607">
        <v>8</v>
      </c>
      <c r="T607" t="s">
        <v>550</v>
      </c>
      <c r="U607">
        <v>0.33102120859965134</v>
      </c>
    </row>
    <row r="608" spans="1:21">
      <c r="A608">
        <v>792</v>
      </c>
      <c r="B608" s="1">
        <v>45885</v>
      </c>
      <c r="C608" t="s">
        <v>599</v>
      </c>
      <c r="D608" t="s">
        <v>137</v>
      </c>
      <c r="E608" t="s">
        <v>76</v>
      </c>
      <c r="F608" t="s">
        <v>81</v>
      </c>
      <c r="G608" t="s">
        <v>105</v>
      </c>
      <c r="H608" t="s">
        <v>26</v>
      </c>
      <c r="I608">
        <v>1</v>
      </c>
      <c r="J608">
        <v>4173.96</v>
      </c>
      <c r="K608">
        <v>0.02</v>
      </c>
      <c r="L608">
        <v>4090.48</v>
      </c>
      <c r="M608">
        <v>3274.23</v>
      </c>
      <c r="N608">
        <v>816.25</v>
      </c>
      <c r="O608" t="s">
        <v>27</v>
      </c>
      <c r="P608" t="s">
        <v>39</v>
      </c>
      <c r="Q608" t="s">
        <v>40</v>
      </c>
      <c r="R608" t="s">
        <v>577</v>
      </c>
      <c r="S608">
        <v>8</v>
      </c>
      <c r="T608" t="s">
        <v>550</v>
      </c>
      <c r="U608">
        <v>0.19954870822006218</v>
      </c>
    </row>
    <row r="609" spans="1:21">
      <c r="A609">
        <v>999</v>
      </c>
      <c r="B609" s="1">
        <v>45885</v>
      </c>
      <c r="C609" t="s">
        <v>114</v>
      </c>
      <c r="D609" t="s">
        <v>464</v>
      </c>
      <c r="E609" t="s">
        <v>76</v>
      </c>
      <c r="F609" t="s">
        <v>81</v>
      </c>
      <c r="G609" t="s">
        <v>59</v>
      </c>
      <c r="H609" t="s">
        <v>37</v>
      </c>
      <c r="I609">
        <v>1</v>
      </c>
      <c r="J609">
        <v>12748.39</v>
      </c>
      <c r="K609">
        <v>0.02</v>
      </c>
      <c r="L609">
        <v>12493.42</v>
      </c>
      <c r="M609">
        <v>9111.8700000000008</v>
      </c>
      <c r="N609">
        <v>3381.55</v>
      </c>
      <c r="O609" t="s">
        <v>38</v>
      </c>
      <c r="P609" t="s">
        <v>45</v>
      </c>
      <c r="Q609" t="s">
        <v>29</v>
      </c>
      <c r="R609" t="s">
        <v>577</v>
      </c>
      <c r="S609">
        <v>8</v>
      </c>
      <c r="T609" t="s">
        <v>550</v>
      </c>
      <c r="U609">
        <v>0.27066647883445849</v>
      </c>
    </row>
    <row r="610" spans="1:21">
      <c r="A610">
        <v>80</v>
      </c>
      <c r="B610" s="1">
        <v>45885</v>
      </c>
      <c r="C610" t="s">
        <v>281</v>
      </c>
      <c r="D610" t="s">
        <v>242</v>
      </c>
      <c r="E610" t="s">
        <v>34</v>
      </c>
      <c r="F610" t="s">
        <v>49</v>
      </c>
      <c r="G610" t="s">
        <v>69</v>
      </c>
      <c r="H610" t="s">
        <v>70</v>
      </c>
      <c r="I610">
        <v>1</v>
      </c>
      <c r="J610">
        <v>3167.27</v>
      </c>
      <c r="K610">
        <v>0.15</v>
      </c>
      <c r="L610">
        <v>2692.18</v>
      </c>
      <c r="M610">
        <v>2054.81</v>
      </c>
      <c r="N610">
        <v>637.37</v>
      </c>
      <c r="O610" t="s">
        <v>38</v>
      </c>
      <c r="P610" t="s">
        <v>71</v>
      </c>
      <c r="Q610" t="s">
        <v>29</v>
      </c>
      <c r="R610" t="s">
        <v>577</v>
      </c>
      <c r="S610">
        <v>8</v>
      </c>
      <c r="T610" t="s">
        <v>550</v>
      </c>
      <c r="U610">
        <v>0.23674865722202826</v>
      </c>
    </row>
    <row r="611" spans="1:21">
      <c r="A611">
        <v>481</v>
      </c>
      <c r="B611" s="1">
        <v>45885</v>
      </c>
      <c r="C611" t="s">
        <v>135</v>
      </c>
      <c r="D611" t="s">
        <v>569</v>
      </c>
      <c r="E611" t="s">
        <v>34</v>
      </c>
      <c r="F611" t="s">
        <v>35</v>
      </c>
      <c r="G611" t="s">
        <v>50</v>
      </c>
      <c r="H611" t="s">
        <v>51</v>
      </c>
      <c r="I611">
        <v>1</v>
      </c>
      <c r="J611">
        <v>1192.83</v>
      </c>
      <c r="K611">
        <v>0.1</v>
      </c>
      <c r="L611">
        <v>1073.55</v>
      </c>
      <c r="M611">
        <v>812.28</v>
      </c>
      <c r="N611">
        <v>261.27</v>
      </c>
      <c r="O611" t="s">
        <v>27</v>
      </c>
      <c r="P611" t="s">
        <v>45</v>
      </c>
      <c r="Q611" t="s">
        <v>46</v>
      </c>
      <c r="R611" t="s">
        <v>577</v>
      </c>
      <c r="S611">
        <v>8</v>
      </c>
      <c r="T611" t="s">
        <v>550</v>
      </c>
      <c r="U611">
        <v>0.24337012714824646</v>
      </c>
    </row>
    <row r="612" spans="1:21">
      <c r="A612">
        <v>620</v>
      </c>
      <c r="B612" s="1">
        <v>45885</v>
      </c>
      <c r="C612" t="s">
        <v>406</v>
      </c>
      <c r="D612" t="s">
        <v>573</v>
      </c>
      <c r="E612" t="s">
        <v>23</v>
      </c>
      <c r="F612" t="s">
        <v>24</v>
      </c>
      <c r="G612" t="s">
        <v>36</v>
      </c>
      <c r="H612" t="s">
        <v>37</v>
      </c>
      <c r="I612">
        <v>1</v>
      </c>
      <c r="J612">
        <v>4984.13</v>
      </c>
      <c r="K612">
        <v>0</v>
      </c>
      <c r="L612">
        <v>4984.13</v>
      </c>
      <c r="M612">
        <v>3961.46</v>
      </c>
      <c r="N612">
        <v>1022.67</v>
      </c>
      <c r="O612" t="s">
        <v>38</v>
      </c>
      <c r="P612" t="s">
        <v>39</v>
      </c>
      <c r="Q612" t="s">
        <v>29</v>
      </c>
      <c r="R612" t="s">
        <v>577</v>
      </c>
      <c r="S612">
        <v>8</v>
      </c>
      <c r="T612" t="s">
        <v>550</v>
      </c>
      <c r="U612">
        <v>0.20518525800892029</v>
      </c>
    </row>
    <row r="613" spans="1:21">
      <c r="A613">
        <v>103</v>
      </c>
      <c r="B613" s="1">
        <v>45886</v>
      </c>
      <c r="C613" t="s">
        <v>476</v>
      </c>
      <c r="D613" t="s">
        <v>137</v>
      </c>
      <c r="E613" t="s">
        <v>97</v>
      </c>
      <c r="F613" t="s">
        <v>98</v>
      </c>
      <c r="G613" t="s">
        <v>50</v>
      </c>
      <c r="H613" t="s">
        <v>51</v>
      </c>
      <c r="I613">
        <v>1</v>
      </c>
      <c r="J613">
        <v>1017.94</v>
      </c>
      <c r="K613">
        <v>0.05</v>
      </c>
      <c r="L613">
        <v>967.04</v>
      </c>
      <c r="M613">
        <v>847.91</v>
      </c>
      <c r="N613">
        <v>119.13</v>
      </c>
      <c r="O613" t="s">
        <v>38</v>
      </c>
      <c r="P613" t="s">
        <v>45</v>
      </c>
      <c r="Q613" t="s">
        <v>46</v>
      </c>
      <c r="R613" t="s">
        <v>577</v>
      </c>
      <c r="S613">
        <v>8</v>
      </c>
      <c r="T613" t="s">
        <v>550</v>
      </c>
      <c r="U613">
        <v>0.12319035407015222</v>
      </c>
    </row>
    <row r="614" spans="1:21">
      <c r="A614">
        <v>631</v>
      </c>
      <c r="B614" s="1">
        <v>45886</v>
      </c>
      <c r="C614" t="s">
        <v>95</v>
      </c>
      <c r="D614" t="s">
        <v>421</v>
      </c>
      <c r="E614" t="s">
        <v>97</v>
      </c>
      <c r="F614" t="s">
        <v>148</v>
      </c>
      <c r="G614" t="s">
        <v>145</v>
      </c>
      <c r="H614" t="s">
        <v>70</v>
      </c>
      <c r="I614">
        <v>3</v>
      </c>
      <c r="J614">
        <v>1005.26</v>
      </c>
      <c r="K614">
        <v>0.05</v>
      </c>
      <c r="L614">
        <v>2864.99</v>
      </c>
      <c r="M614">
        <v>1983.97</v>
      </c>
      <c r="N614">
        <v>881.02</v>
      </c>
      <c r="O614" t="s">
        <v>27</v>
      </c>
      <c r="P614" t="s">
        <v>39</v>
      </c>
      <c r="Q614" t="s">
        <v>40</v>
      </c>
      <c r="R614" t="s">
        <v>577</v>
      </c>
      <c r="S614">
        <v>8</v>
      </c>
      <c r="T614" t="s">
        <v>550</v>
      </c>
      <c r="U614">
        <v>0.30751241714630767</v>
      </c>
    </row>
    <row r="615" spans="1:21">
      <c r="A615">
        <v>366</v>
      </c>
      <c r="B615" s="1">
        <v>45886</v>
      </c>
      <c r="C615" t="s">
        <v>600</v>
      </c>
      <c r="D615" t="s">
        <v>169</v>
      </c>
      <c r="E615" t="s">
        <v>54</v>
      </c>
      <c r="F615" t="s">
        <v>55</v>
      </c>
      <c r="G615" t="s">
        <v>25</v>
      </c>
      <c r="H615" t="s">
        <v>26</v>
      </c>
      <c r="I615">
        <v>2</v>
      </c>
      <c r="J615">
        <v>14221.61</v>
      </c>
      <c r="K615">
        <v>0.15</v>
      </c>
      <c r="L615">
        <v>24176.74</v>
      </c>
      <c r="M615">
        <v>24670.959999999999</v>
      </c>
      <c r="N615">
        <v>-494.22</v>
      </c>
      <c r="O615" t="s">
        <v>27</v>
      </c>
      <c r="P615" t="s">
        <v>78</v>
      </c>
      <c r="Q615" t="s">
        <v>46</v>
      </c>
      <c r="R615" t="s">
        <v>577</v>
      </c>
      <c r="S615">
        <v>8</v>
      </c>
      <c r="T615" t="s">
        <v>550</v>
      </c>
      <c r="U615">
        <v>-2.0441961984949169E-2</v>
      </c>
    </row>
    <row r="616" spans="1:21">
      <c r="A616">
        <v>439</v>
      </c>
      <c r="B616" s="1">
        <v>45886</v>
      </c>
      <c r="C616" t="s">
        <v>287</v>
      </c>
      <c r="D616" t="s">
        <v>433</v>
      </c>
      <c r="E616" t="s">
        <v>23</v>
      </c>
      <c r="F616" t="s">
        <v>58</v>
      </c>
      <c r="G616" t="s">
        <v>134</v>
      </c>
      <c r="H616" t="s">
        <v>26</v>
      </c>
      <c r="I616">
        <v>2</v>
      </c>
      <c r="J616">
        <v>39483.870000000003</v>
      </c>
      <c r="K616">
        <v>0</v>
      </c>
      <c r="L616">
        <v>78967.740000000005</v>
      </c>
      <c r="M616">
        <v>67337.13</v>
      </c>
      <c r="N616">
        <v>11630.61</v>
      </c>
      <c r="O616" t="s">
        <v>27</v>
      </c>
      <c r="P616" t="s">
        <v>39</v>
      </c>
      <c r="Q616" t="s">
        <v>46</v>
      </c>
      <c r="R616" t="s">
        <v>577</v>
      </c>
      <c r="S616">
        <v>8</v>
      </c>
      <c r="T616" t="s">
        <v>550</v>
      </c>
      <c r="U616">
        <v>0.14728305508046705</v>
      </c>
    </row>
    <row r="617" spans="1:21">
      <c r="A617">
        <v>904</v>
      </c>
      <c r="B617" s="1">
        <v>45887</v>
      </c>
      <c r="C617" t="s">
        <v>476</v>
      </c>
      <c r="D617" t="s">
        <v>141</v>
      </c>
      <c r="E617" t="s">
        <v>97</v>
      </c>
      <c r="F617" t="s">
        <v>98</v>
      </c>
      <c r="G617" t="s">
        <v>66</v>
      </c>
      <c r="H617" t="s">
        <v>51</v>
      </c>
      <c r="I617">
        <v>1</v>
      </c>
      <c r="J617">
        <v>3339.74</v>
      </c>
      <c r="K617">
        <v>0.1</v>
      </c>
      <c r="L617">
        <v>3005.77</v>
      </c>
      <c r="M617">
        <v>2669.53</v>
      </c>
      <c r="N617">
        <v>336.24</v>
      </c>
      <c r="O617" t="s">
        <v>38</v>
      </c>
      <c r="P617" t="s">
        <v>78</v>
      </c>
      <c r="Q617" t="s">
        <v>40</v>
      </c>
      <c r="R617" t="s">
        <v>577</v>
      </c>
      <c r="S617">
        <v>8</v>
      </c>
      <c r="T617" t="s">
        <v>550</v>
      </c>
      <c r="U617">
        <v>0.11186484661168353</v>
      </c>
    </row>
    <row r="618" spans="1:21">
      <c r="A618">
        <v>178</v>
      </c>
      <c r="B618" s="1">
        <v>45888</v>
      </c>
      <c r="C618" t="s">
        <v>527</v>
      </c>
      <c r="D618" t="s">
        <v>429</v>
      </c>
      <c r="E618" t="s">
        <v>97</v>
      </c>
      <c r="F618" t="s">
        <v>98</v>
      </c>
      <c r="G618" t="s">
        <v>59</v>
      </c>
      <c r="H618" t="s">
        <v>37</v>
      </c>
      <c r="I618">
        <v>2</v>
      </c>
      <c r="J618">
        <v>7870.43</v>
      </c>
      <c r="K618">
        <v>0.1</v>
      </c>
      <c r="L618">
        <v>14166.77</v>
      </c>
      <c r="M618">
        <v>12442.96</v>
      </c>
      <c r="N618">
        <v>1723.81</v>
      </c>
      <c r="O618" t="s">
        <v>38</v>
      </c>
      <c r="P618" t="s">
        <v>78</v>
      </c>
      <c r="Q618" t="s">
        <v>46</v>
      </c>
      <c r="R618" t="s">
        <v>577</v>
      </c>
      <c r="S618">
        <v>8</v>
      </c>
      <c r="T618" t="s">
        <v>550</v>
      </c>
      <c r="U618">
        <v>0.12167981833544272</v>
      </c>
    </row>
    <row r="619" spans="1:21">
      <c r="A619">
        <v>855</v>
      </c>
      <c r="B619" s="1">
        <v>45888</v>
      </c>
      <c r="C619" t="s">
        <v>249</v>
      </c>
      <c r="D619" t="s">
        <v>118</v>
      </c>
      <c r="E619" t="s">
        <v>76</v>
      </c>
      <c r="F619" t="s">
        <v>113</v>
      </c>
      <c r="G619" t="s">
        <v>145</v>
      </c>
      <c r="H619" t="s">
        <v>70</v>
      </c>
      <c r="I619">
        <v>2</v>
      </c>
      <c r="J619">
        <v>2083.61</v>
      </c>
      <c r="K619">
        <v>0.15</v>
      </c>
      <c r="L619">
        <v>3542.14</v>
      </c>
      <c r="M619">
        <v>3167</v>
      </c>
      <c r="N619">
        <v>375.14</v>
      </c>
      <c r="O619" t="s">
        <v>38</v>
      </c>
      <c r="P619" t="s">
        <v>71</v>
      </c>
      <c r="Q619" t="s">
        <v>29</v>
      </c>
      <c r="R619" t="s">
        <v>577</v>
      </c>
      <c r="S619">
        <v>8</v>
      </c>
      <c r="T619" t="s">
        <v>550</v>
      </c>
      <c r="U619">
        <v>0.10590772809657439</v>
      </c>
    </row>
    <row r="620" spans="1:21">
      <c r="A620">
        <v>262</v>
      </c>
      <c r="B620" s="1">
        <v>45888</v>
      </c>
      <c r="C620" t="s">
        <v>199</v>
      </c>
      <c r="D620" t="s">
        <v>122</v>
      </c>
      <c r="E620" t="s">
        <v>76</v>
      </c>
      <c r="F620" t="s">
        <v>81</v>
      </c>
      <c r="G620" t="s">
        <v>62</v>
      </c>
      <c r="H620" t="s">
        <v>63</v>
      </c>
      <c r="I620">
        <v>1</v>
      </c>
      <c r="J620">
        <v>356.29</v>
      </c>
      <c r="K620">
        <v>0.05</v>
      </c>
      <c r="L620">
        <v>338.48</v>
      </c>
      <c r="M620">
        <v>222.94</v>
      </c>
      <c r="N620">
        <v>115.54</v>
      </c>
      <c r="O620" t="s">
        <v>38</v>
      </c>
      <c r="P620" t="s">
        <v>28</v>
      </c>
      <c r="Q620" t="s">
        <v>29</v>
      </c>
      <c r="R620" t="s">
        <v>577</v>
      </c>
      <c r="S620">
        <v>8</v>
      </c>
      <c r="T620" t="s">
        <v>550</v>
      </c>
      <c r="U620">
        <v>0.34134956275112266</v>
      </c>
    </row>
    <row r="621" spans="1:21">
      <c r="A621">
        <v>50</v>
      </c>
      <c r="B621" s="1">
        <v>45890</v>
      </c>
      <c r="C621" t="s">
        <v>601</v>
      </c>
      <c r="D621" t="s">
        <v>509</v>
      </c>
      <c r="E621" t="s">
        <v>54</v>
      </c>
      <c r="F621" t="s">
        <v>127</v>
      </c>
      <c r="G621" t="s">
        <v>99</v>
      </c>
      <c r="H621" t="s">
        <v>26</v>
      </c>
      <c r="I621">
        <v>2</v>
      </c>
      <c r="J621">
        <v>20630.939999999999</v>
      </c>
      <c r="K621">
        <v>0</v>
      </c>
      <c r="L621">
        <v>41261.879999999997</v>
      </c>
      <c r="M621">
        <v>31194.21</v>
      </c>
      <c r="N621">
        <v>10067.67</v>
      </c>
      <c r="O621" t="s">
        <v>38</v>
      </c>
      <c r="P621" t="s">
        <v>28</v>
      </c>
      <c r="Q621" t="s">
        <v>29</v>
      </c>
      <c r="R621" t="s">
        <v>577</v>
      </c>
      <c r="S621">
        <v>8</v>
      </c>
      <c r="T621" t="s">
        <v>550</v>
      </c>
      <c r="U621">
        <v>0.24399445686914897</v>
      </c>
    </row>
    <row r="622" spans="1:21">
      <c r="A622">
        <v>451</v>
      </c>
      <c r="B622" s="1">
        <v>45890</v>
      </c>
      <c r="C622" t="s">
        <v>602</v>
      </c>
      <c r="D622" t="s">
        <v>309</v>
      </c>
      <c r="E622" t="s">
        <v>23</v>
      </c>
      <c r="F622" t="s">
        <v>43</v>
      </c>
      <c r="G622" t="s">
        <v>105</v>
      </c>
      <c r="H622" t="s">
        <v>26</v>
      </c>
      <c r="I622">
        <v>1</v>
      </c>
      <c r="J622">
        <v>3409.48</v>
      </c>
      <c r="K622">
        <v>0.15</v>
      </c>
      <c r="L622">
        <v>2898.06</v>
      </c>
      <c r="M622">
        <v>2313.0300000000002</v>
      </c>
      <c r="N622">
        <v>585.03</v>
      </c>
      <c r="O622" t="s">
        <v>38</v>
      </c>
      <c r="P622" t="s">
        <v>39</v>
      </c>
      <c r="Q622" t="s">
        <v>40</v>
      </c>
      <c r="R622" t="s">
        <v>577</v>
      </c>
      <c r="S622">
        <v>8</v>
      </c>
      <c r="T622" t="s">
        <v>550</v>
      </c>
      <c r="U622">
        <v>0.20186952651083828</v>
      </c>
    </row>
    <row r="623" spans="1:21">
      <c r="A623">
        <v>94</v>
      </c>
      <c r="B623" s="1">
        <v>45891</v>
      </c>
      <c r="C623" t="s">
        <v>494</v>
      </c>
      <c r="D623" t="s">
        <v>543</v>
      </c>
      <c r="E623" t="s">
        <v>54</v>
      </c>
      <c r="F623" t="s">
        <v>127</v>
      </c>
      <c r="G623" t="s">
        <v>62</v>
      </c>
      <c r="H623" t="s">
        <v>63</v>
      </c>
      <c r="I623">
        <v>1</v>
      </c>
      <c r="J623">
        <v>305.26</v>
      </c>
      <c r="K623">
        <v>0.15</v>
      </c>
      <c r="L623">
        <v>259.47000000000003</v>
      </c>
      <c r="M623">
        <v>216.39</v>
      </c>
      <c r="N623">
        <v>43.08</v>
      </c>
      <c r="O623" t="s">
        <v>27</v>
      </c>
      <c r="P623" t="s">
        <v>78</v>
      </c>
      <c r="Q623" t="s">
        <v>29</v>
      </c>
      <c r="R623" t="s">
        <v>577</v>
      </c>
      <c r="S623">
        <v>8</v>
      </c>
      <c r="T623" t="s">
        <v>550</v>
      </c>
      <c r="U623">
        <v>0.16603075500057807</v>
      </c>
    </row>
    <row r="624" spans="1:21">
      <c r="A624">
        <v>149</v>
      </c>
      <c r="B624" s="1">
        <v>45891</v>
      </c>
      <c r="C624" t="s">
        <v>319</v>
      </c>
      <c r="D624" t="s">
        <v>603</v>
      </c>
      <c r="E624" t="s">
        <v>54</v>
      </c>
      <c r="F624" t="s">
        <v>108</v>
      </c>
      <c r="G624" t="s">
        <v>99</v>
      </c>
      <c r="H624" t="s">
        <v>26</v>
      </c>
      <c r="I624">
        <v>3</v>
      </c>
      <c r="J624">
        <v>11640.57</v>
      </c>
      <c r="K624">
        <v>0.15</v>
      </c>
      <c r="L624">
        <v>29683.45</v>
      </c>
      <c r="M624">
        <v>22954.77</v>
      </c>
      <c r="N624">
        <v>6728.68</v>
      </c>
      <c r="O624" t="s">
        <v>38</v>
      </c>
      <c r="P624" t="s">
        <v>71</v>
      </c>
      <c r="Q624" t="s">
        <v>40</v>
      </c>
      <c r="R624" t="s">
        <v>577</v>
      </c>
      <c r="S624">
        <v>8</v>
      </c>
      <c r="T624" t="s">
        <v>550</v>
      </c>
      <c r="U624">
        <v>0.22668119777182236</v>
      </c>
    </row>
    <row r="625" spans="1:21">
      <c r="A625">
        <v>961</v>
      </c>
      <c r="B625" s="1">
        <v>45891</v>
      </c>
      <c r="C625" t="s">
        <v>389</v>
      </c>
      <c r="D625" t="s">
        <v>243</v>
      </c>
      <c r="E625" t="s">
        <v>54</v>
      </c>
      <c r="F625" t="s">
        <v>108</v>
      </c>
      <c r="G625" t="s">
        <v>25</v>
      </c>
      <c r="H625" t="s">
        <v>26</v>
      </c>
      <c r="I625">
        <v>1</v>
      </c>
      <c r="J625">
        <v>19203.09</v>
      </c>
      <c r="K625">
        <v>0</v>
      </c>
      <c r="L625">
        <v>19203.09</v>
      </c>
      <c r="M625">
        <v>16849.669999999998</v>
      </c>
      <c r="N625">
        <v>2353.42</v>
      </c>
      <c r="O625" t="s">
        <v>27</v>
      </c>
      <c r="P625" t="s">
        <v>45</v>
      </c>
      <c r="Q625" t="s">
        <v>29</v>
      </c>
      <c r="R625" t="s">
        <v>577</v>
      </c>
      <c r="S625">
        <v>8</v>
      </c>
      <c r="T625" t="s">
        <v>550</v>
      </c>
      <c r="U625">
        <v>0.12255423476117645</v>
      </c>
    </row>
    <row r="626" spans="1:21">
      <c r="A626">
        <v>261</v>
      </c>
      <c r="B626" s="1">
        <v>45891</v>
      </c>
      <c r="C626" t="s">
        <v>93</v>
      </c>
      <c r="D626" t="s">
        <v>169</v>
      </c>
      <c r="E626" t="s">
        <v>76</v>
      </c>
      <c r="F626" t="s">
        <v>77</v>
      </c>
      <c r="G626" t="s">
        <v>105</v>
      </c>
      <c r="H626" t="s">
        <v>26</v>
      </c>
      <c r="I626">
        <v>1</v>
      </c>
      <c r="J626">
        <v>4753.5200000000004</v>
      </c>
      <c r="K626">
        <v>0</v>
      </c>
      <c r="L626">
        <v>4753.5200000000004</v>
      </c>
      <c r="M626">
        <v>3565.91</v>
      </c>
      <c r="N626">
        <v>1187.6099999999999</v>
      </c>
      <c r="O626" t="s">
        <v>27</v>
      </c>
      <c r="P626" t="s">
        <v>45</v>
      </c>
      <c r="Q626" t="s">
        <v>40</v>
      </c>
      <c r="R626" t="s">
        <v>577</v>
      </c>
      <c r="S626">
        <v>8</v>
      </c>
      <c r="T626" t="s">
        <v>550</v>
      </c>
      <c r="U626">
        <v>0.24983801477641826</v>
      </c>
    </row>
    <row r="627" spans="1:21">
      <c r="A627">
        <v>986</v>
      </c>
      <c r="B627" s="1">
        <v>45892</v>
      </c>
      <c r="C627" t="s">
        <v>353</v>
      </c>
      <c r="D627" t="s">
        <v>556</v>
      </c>
      <c r="E627" t="s">
        <v>34</v>
      </c>
      <c r="F627" t="s">
        <v>49</v>
      </c>
      <c r="G627" t="s">
        <v>69</v>
      </c>
      <c r="H627" t="s">
        <v>70</v>
      </c>
      <c r="I627">
        <v>1</v>
      </c>
      <c r="J627">
        <v>1358.67</v>
      </c>
      <c r="K627">
        <v>0.1</v>
      </c>
      <c r="L627">
        <v>1222.8</v>
      </c>
      <c r="M627">
        <v>1105.02</v>
      </c>
      <c r="N627">
        <v>117.78</v>
      </c>
      <c r="O627" t="s">
        <v>27</v>
      </c>
      <c r="P627" t="s">
        <v>39</v>
      </c>
      <c r="Q627" t="s">
        <v>46</v>
      </c>
      <c r="R627" t="s">
        <v>577</v>
      </c>
      <c r="S627">
        <v>8</v>
      </c>
      <c r="T627" t="s">
        <v>550</v>
      </c>
      <c r="U627">
        <v>9.6319921491658494E-2</v>
      </c>
    </row>
    <row r="628" spans="1:21">
      <c r="A628">
        <v>738</v>
      </c>
      <c r="B628" s="1">
        <v>45892</v>
      </c>
      <c r="C628" t="s">
        <v>258</v>
      </c>
      <c r="D628" t="s">
        <v>585</v>
      </c>
      <c r="E628" t="s">
        <v>23</v>
      </c>
      <c r="F628" t="s">
        <v>43</v>
      </c>
      <c r="G628" t="s">
        <v>66</v>
      </c>
      <c r="H628" t="s">
        <v>51</v>
      </c>
      <c r="I628">
        <v>2</v>
      </c>
      <c r="J628">
        <v>1339.72</v>
      </c>
      <c r="K628">
        <v>0.15</v>
      </c>
      <c r="L628">
        <v>2277.52</v>
      </c>
      <c r="M628">
        <v>1967.94</v>
      </c>
      <c r="N628">
        <v>309.58</v>
      </c>
      <c r="O628" t="s">
        <v>27</v>
      </c>
      <c r="P628" t="s">
        <v>28</v>
      </c>
      <c r="Q628" t="s">
        <v>46</v>
      </c>
      <c r="R628" t="s">
        <v>577</v>
      </c>
      <c r="S628">
        <v>8</v>
      </c>
      <c r="T628" t="s">
        <v>550</v>
      </c>
      <c r="U628">
        <v>0.1359285538656082</v>
      </c>
    </row>
    <row r="629" spans="1:21">
      <c r="A629">
        <v>550</v>
      </c>
      <c r="B629" s="1">
        <v>45892</v>
      </c>
      <c r="C629" t="s">
        <v>227</v>
      </c>
      <c r="D629" t="s">
        <v>539</v>
      </c>
      <c r="E629" t="s">
        <v>54</v>
      </c>
      <c r="F629" t="s">
        <v>108</v>
      </c>
      <c r="G629" t="s">
        <v>99</v>
      </c>
      <c r="H629" t="s">
        <v>26</v>
      </c>
      <c r="I629">
        <v>1</v>
      </c>
      <c r="J629">
        <v>26586.44</v>
      </c>
      <c r="K629">
        <v>0.1</v>
      </c>
      <c r="L629">
        <v>23927.8</v>
      </c>
      <c r="M629">
        <v>18702.48</v>
      </c>
      <c r="N629">
        <v>5225.32</v>
      </c>
      <c r="O629" t="s">
        <v>38</v>
      </c>
      <c r="P629" t="s">
        <v>78</v>
      </c>
      <c r="Q629" t="s">
        <v>29</v>
      </c>
      <c r="R629" t="s">
        <v>577</v>
      </c>
      <c r="S629">
        <v>8</v>
      </c>
      <c r="T629" t="s">
        <v>550</v>
      </c>
      <c r="U629">
        <v>0.21837862235558639</v>
      </c>
    </row>
    <row r="630" spans="1:21">
      <c r="A630">
        <v>624</v>
      </c>
      <c r="B630" s="1">
        <v>45892</v>
      </c>
      <c r="C630" t="s">
        <v>206</v>
      </c>
      <c r="D630" t="s">
        <v>604</v>
      </c>
      <c r="E630" t="s">
        <v>54</v>
      </c>
      <c r="F630" t="s">
        <v>108</v>
      </c>
      <c r="G630" t="s">
        <v>66</v>
      </c>
      <c r="H630" t="s">
        <v>51</v>
      </c>
      <c r="I630">
        <v>3</v>
      </c>
      <c r="J630">
        <v>2272.98</v>
      </c>
      <c r="K630">
        <v>0.15</v>
      </c>
      <c r="L630">
        <v>5796.1</v>
      </c>
      <c r="M630">
        <v>4422.8999999999996</v>
      </c>
      <c r="N630">
        <v>1373.2</v>
      </c>
      <c r="O630" t="s">
        <v>38</v>
      </c>
      <c r="P630" t="s">
        <v>78</v>
      </c>
      <c r="Q630" t="s">
        <v>40</v>
      </c>
      <c r="R630" t="s">
        <v>577</v>
      </c>
      <c r="S630">
        <v>8</v>
      </c>
      <c r="T630" t="s">
        <v>550</v>
      </c>
      <c r="U630">
        <v>0.23691792757198804</v>
      </c>
    </row>
    <row r="631" spans="1:21">
      <c r="A631">
        <v>68</v>
      </c>
      <c r="B631" s="1">
        <v>45893</v>
      </c>
      <c r="C631" t="s">
        <v>197</v>
      </c>
      <c r="D631" t="s">
        <v>255</v>
      </c>
      <c r="E631" t="s">
        <v>23</v>
      </c>
      <c r="F631" t="s">
        <v>58</v>
      </c>
      <c r="G631" t="s">
        <v>134</v>
      </c>
      <c r="H631" t="s">
        <v>26</v>
      </c>
      <c r="I631">
        <v>4</v>
      </c>
      <c r="J631">
        <v>21216.05</v>
      </c>
      <c r="K631">
        <v>0.02</v>
      </c>
      <c r="L631">
        <v>83166.92</v>
      </c>
      <c r="M631">
        <v>64922.22</v>
      </c>
      <c r="N631">
        <v>18244.7</v>
      </c>
      <c r="O631" t="s">
        <v>38</v>
      </c>
      <c r="P631" t="s">
        <v>71</v>
      </c>
      <c r="Q631" t="s">
        <v>40</v>
      </c>
      <c r="R631" t="s">
        <v>577</v>
      </c>
      <c r="S631">
        <v>8</v>
      </c>
      <c r="T631" t="s">
        <v>550</v>
      </c>
      <c r="U631">
        <v>0.21937448206570595</v>
      </c>
    </row>
    <row r="632" spans="1:21">
      <c r="A632">
        <v>931</v>
      </c>
      <c r="B632" s="1">
        <v>45893</v>
      </c>
      <c r="C632" t="s">
        <v>419</v>
      </c>
      <c r="D632" t="s">
        <v>255</v>
      </c>
      <c r="E632" t="s">
        <v>23</v>
      </c>
      <c r="F632" t="s">
        <v>43</v>
      </c>
      <c r="G632" t="s">
        <v>25</v>
      </c>
      <c r="H632" t="s">
        <v>26</v>
      </c>
      <c r="I632">
        <v>1</v>
      </c>
      <c r="J632">
        <v>7007.54</v>
      </c>
      <c r="K632">
        <v>0.02</v>
      </c>
      <c r="L632">
        <v>6867.39</v>
      </c>
      <c r="M632">
        <v>5774.01</v>
      </c>
      <c r="N632">
        <v>1093.3800000000001</v>
      </c>
      <c r="O632" t="s">
        <v>27</v>
      </c>
      <c r="P632" t="s">
        <v>28</v>
      </c>
      <c r="Q632" t="s">
        <v>29</v>
      </c>
      <c r="R632" t="s">
        <v>577</v>
      </c>
      <c r="S632">
        <v>8</v>
      </c>
      <c r="T632" t="s">
        <v>550</v>
      </c>
      <c r="U632">
        <v>0.15921332558657658</v>
      </c>
    </row>
    <row r="633" spans="1:21">
      <c r="A633">
        <v>808</v>
      </c>
      <c r="B633" s="1">
        <v>45893</v>
      </c>
      <c r="C633" t="s">
        <v>277</v>
      </c>
      <c r="D633" t="s">
        <v>188</v>
      </c>
      <c r="E633" t="s">
        <v>23</v>
      </c>
      <c r="F633" t="s">
        <v>43</v>
      </c>
      <c r="G633" t="s">
        <v>145</v>
      </c>
      <c r="H633" t="s">
        <v>70</v>
      </c>
      <c r="I633">
        <v>4</v>
      </c>
      <c r="J633">
        <v>2011.03</v>
      </c>
      <c r="K633">
        <v>0.02</v>
      </c>
      <c r="L633">
        <v>7883.24</v>
      </c>
      <c r="M633">
        <v>6342.26</v>
      </c>
      <c r="N633">
        <v>1540.98</v>
      </c>
      <c r="O633" t="s">
        <v>27</v>
      </c>
      <c r="P633" t="s">
        <v>45</v>
      </c>
      <c r="Q633" t="s">
        <v>46</v>
      </c>
      <c r="R633" t="s">
        <v>577</v>
      </c>
      <c r="S633">
        <v>8</v>
      </c>
      <c r="T633" t="s">
        <v>550</v>
      </c>
      <c r="U633">
        <v>0.19547546440296124</v>
      </c>
    </row>
    <row r="634" spans="1:21">
      <c r="A634">
        <v>110</v>
      </c>
      <c r="B634" s="1">
        <v>45893</v>
      </c>
      <c r="C634" t="s">
        <v>570</v>
      </c>
      <c r="D634" t="s">
        <v>412</v>
      </c>
      <c r="E634" t="s">
        <v>54</v>
      </c>
      <c r="F634" t="s">
        <v>127</v>
      </c>
      <c r="G634" t="s">
        <v>44</v>
      </c>
      <c r="H634" t="s">
        <v>26</v>
      </c>
      <c r="I634">
        <v>2</v>
      </c>
      <c r="J634">
        <v>63038.62</v>
      </c>
      <c r="K634">
        <v>0.1</v>
      </c>
      <c r="L634">
        <v>113469.52</v>
      </c>
      <c r="M634">
        <v>98737.57</v>
      </c>
      <c r="N634">
        <v>14731.95</v>
      </c>
      <c r="O634" t="s">
        <v>27</v>
      </c>
      <c r="P634" t="s">
        <v>28</v>
      </c>
      <c r="Q634" t="s">
        <v>46</v>
      </c>
      <c r="R634" t="s">
        <v>577</v>
      </c>
      <c r="S634">
        <v>8</v>
      </c>
      <c r="T634" t="s">
        <v>550</v>
      </c>
      <c r="U634">
        <v>0.12983178213849852</v>
      </c>
    </row>
    <row r="635" spans="1:21">
      <c r="A635">
        <v>400</v>
      </c>
      <c r="B635" s="1">
        <v>45894</v>
      </c>
      <c r="C635" t="s">
        <v>345</v>
      </c>
      <c r="D635" t="s">
        <v>605</v>
      </c>
      <c r="E635" t="s">
        <v>76</v>
      </c>
      <c r="F635" t="s">
        <v>81</v>
      </c>
      <c r="G635" t="s">
        <v>99</v>
      </c>
      <c r="H635" t="s">
        <v>26</v>
      </c>
      <c r="I635">
        <v>3</v>
      </c>
      <c r="J635">
        <v>20475.63</v>
      </c>
      <c r="K635">
        <v>0</v>
      </c>
      <c r="L635">
        <v>61426.89</v>
      </c>
      <c r="M635">
        <v>40643.629999999997</v>
      </c>
      <c r="N635">
        <v>20783.259999999998</v>
      </c>
      <c r="O635" t="s">
        <v>27</v>
      </c>
      <c r="P635" t="s">
        <v>45</v>
      </c>
      <c r="Q635" t="s">
        <v>29</v>
      </c>
      <c r="R635" t="s">
        <v>577</v>
      </c>
      <c r="S635">
        <v>8</v>
      </c>
      <c r="T635" t="s">
        <v>550</v>
      </c>
      <c r="U635">
        <v>0.33834140064717583</v>
      </c>
    </row>
    <row r="636" spans="1:21">
      <c r="A636">
        <v>919</v>
      </c>
      <c r="B636" s="1">
        <v>45894</v>
      </c>
      <c r="C636" t="s">
        <v>56</v>
      </c>
      <c r="D636" t="s">
        <v>228</v>
      </c>
      <c r="E636" t="s">
        <v>34</v>
      </c>
      <c r="F636" t="s">
        <v>49</v>
      </c>
      <c r="G636" t="s">
        <v>66</v>
      </c>
      <c r="H636" t="s">
        <v>51</v>
      </c>
      <c r="I636">
        <v>1</v>
      </c>
      <c r="J636">
        <v>1846.14</v>
      </c>
      <c r="K636">
        <v>0.15</v>
      </c>
      <c r="L636">
        <v>1569.22</v>
      </c>
      <c r="M636">
        <v>1362.66</v>
      </c>
      <c r="N636">
        <v>206.56</v>
      </c>
      <c r="O636" t="s">
        <v>27</v>
      </c>
      <c r="P636" t="s">
        <v>71</v>
      </c>
      <c r="Q636" t="s">
        <v>40</v>
      </c>
      <c r="R636" t="s">
        <v>577</v>
      </c>
      <c r="S636">
        <v>8</v>
      </c>
      <c r="T636" t="s">
        <v>550</v>
      </c>
      <c r="U636">
        <v>0.13163227590777585</v>
      </c>
    </row>
    <row r="637" spans="1:21">
      <c r="A637">
        <v>403</v>
      </c>
      <c r="B637" s="1">
        <v>45896</v>
      </c>
      <c r="C637" t="s">
        <v>567</v>
      </c>
      <c r="D637" t="s">
        <v>320</v>
      </c>
      <c r="E637" t="s">
        <v>23</v>
      </c>
      <c r="F637" t="s">
        <v>58</v>
      </c>
      <c r="G637" t="s">
        <v>50</v>
      </c>
      <c r="H637" t="s">
        <v>51</v>
      </c>
      <c r="I637">
        <v>3</v>
      </c>
      <c r="J637">
        <v>999.9</v>
      </c>
      <c r="K637">
        <v>0</v>
      </c>
      <c r="L637">
        <v>2999.7</v>
      </c>
      <c r="M637">
        <v>2473.9</v>
      </c>
      <c r="N637">
        <v>525.79999999999995</v>
      </c>
      <c r="O637" t="s">
        <v>27</v>
      </c>
      <c r="P637" t="s">
        <v>71</v>
      </c>
      <c r="Q637" t="s">
        <v>46</v>
      </c>
      <c r="R637" t="s">
        <v>577</v>
      </c>
      <c r="S637">
        <v>8</v>
      </c>
      <c r="T637" t="s">
        <v>550</v>
      </c>
      <c r="U637">
        <v>0.17528419508617529</v>
      </c>
    </row>
    <row r="638" spans="1:21">
      <c r="A638">
        <v>332</v>
      </c>
      <c r="B638" s="1">
        <v>45896</v>
      </c>
      <c r="C638" t="s">
        <v>606</v>
      </c>
      <c r="D638" t="s">
        <v>361</v>
      </c>
      <c r="E638" t="s">
        <v>76</v>
      </c>
      <c r="F638" t="s">
        <v>77</v>
      </c>
      <c r="G638" t="s">
        <v>134</v>
      </c>
      <c r="H638" t="s">
        <v>26</v>
      </c>
      <c r="I638">
        <v>3</v>
      </c>
      <c r="J638">
        <v>33242.449999999997</v>
      </c>
      <c r="K638">
        <v>0</v>
      </c>
      <c r="L638">
        <v>99727.35</v>
      </c>
      <c r="M638">
        <v>78203.09</v>
      </c>
      <c r="N638">
        <v>21524.26</v>
      </c>
      <c r="O638" t="s">
        <v>38</v>
      </c>
      <c r="P638" t="s">
        <v>71</v>
      </c>
      <c r="Q638" t="s">
        <v>29</v>
      </c>
      <c r="R638" t="s">
        <v>577</v>
      </c>
      <c r="S638">
        <v>8</v>
      </c>
      <c r="T638" t="s">
        <v>550</v>
      </c>
      <c r="U638">
        <v>0.21583106339434466</v>
      </c>
    </row>
    <row r="639" spans="1:21">
      <c r="A639">
        <v>298</v>
      </c>
      <c r="B639" s="1">
        <v>45896</v>
      </c>
      <c r="C639" t="s">
        <v>237</v>
      </c>
      <c r="D639" t="s">
        <v>269</v>
      </c>
      <c r="E639" t="s">
        <v>54</v>
      </c>
      <c r="F639" t="s">
        <v>55</v>
      </c>
      <c r="G639" t="s">
        <v>105</v>
      </c>
      <c r="H639" t="s">
        <v>26</v>
      </c>
      <c r="I639">
        <v>2</v>
      </c>
      <c r="J639">
        <v>1552.93</v>
      </c>
      <c r="K639">
        <v>0.1</v>
      </c>
      <c r="L639">
        <v>2795.27</v>
      </c>
      <c r="M639">
        <v>2176.0300000000002</v>
      </c>
      <c r="N639">
        <v>619.24</v>
      </c>
      <c r="O639" t="s">
        <v>27</v>
      </c>
      <c r="P639" t="s">
        <v>71</v>
      </c>
      <c r="Q639" t="s">
        <v>29</v>
      </c>
      <c r="R639" t="s">
        <v>577</v>
      </c>
      <c r="S639">
        <v>8</v>
      </c>
      <c r="T639" t="s">
        <v>550</v>
      </c>
      <c r="U639">
        <v>0.22153137264021008</v>
      </c>
    </row>
    <row r="640" spans="1:21">
      <c r="A640">
        <v>490</v>
      </c>
      <c r="B640" s="1">
        <v>45896</v>
      </c>
      <c r="C640" t="s">
        <v>208</v>
      </c>
      <c r="D640" t="s">
        <v>607</v>
      </c>
      <c r="E640" t="s">
        <v>34</v>
      </c>
      <c r="F640" t="s">
        <v>49</v>
      </c>
      <c r="G640" t="s">
        <v>44</v>
      </c>
      <c r="H640" t="s">
        <v>26</v>
      </c>
      <c r="I640">
        <v>3</v>
      </c>
      <c r="J640">
        <v>65066.9</v>
      </c>
      <c r="K640">
        <v>0</v>
      </c>
      <c r="L640">
        <v>195200.7</v>
      </c>
      <c r="M640">
        <v>153786.71</v>
      </c>
      <c r="N640">
        <v>41413.99</v>
      </c>
      <c r="O640" t="s">
        <v>38</v>
      </c>
      <c r="P640" t="s">
        <v>45</v>
      </c>
      <c r="Q640" t="s">
        <v>40</v>
      </c>
      <c r="R640" t="s">
        <v>577</v>
      </c>
      <c r="S640">
        <v>8</v>
      </c>
      <c r="T640" t="s">
        <v>550</v>
      </c>
      <c r="U640">
        <v>0.21216107319287275</v>
      </c>
    </row>
    <row r="641" spans="1:21">
      <c r="A641">
        <v>836</v>
      </c>
      <c r="B641" s="1">
        <v>45896</v>
      </c>
      <c r="C641" t="s">
        <v>496</v>
      </c>
      <c r="D641" t="s">
        <v>608</v>
      </c>
      <c r="E641" t="s">
        <v>76</v>
      </c>
      <c r="F641" t="s">
        <v>113</v>
      </c>
      <c r="G641" t="s">
        <v>62</v>
      </c>
      <c r="H641" t="s">
        <v>63</v>
      </c>
      <c r="I641">
        <v>2</v>
      </c>
      <c r="J641">
        <v>314.11</v>
      </c>
      <c r="K641">
        <v>0.02</v>
      </c>
      <c r="L641">
        <v>615.66</v>
      </c>
      <c r="M641">
        <v>481.43</v>
      </c>
      <c r="N641">
        <v>134.22999999999999</v>
      </c>
      <c r="O641" t="s">
        <v>38</v>
      </c>
      <c r="P641" t="s">
        <v>45</v>
      </c>
      <c r="Q641" t="s">
        <v>29</v>
      </c>
      <c r="R641" t="s">
        <v>577</v>
      </c>
      <c r="S641">
        <v>8</v>
      </c>
      <c r="T641" t="s">
        <v>550</v>
      </c>
      <c r="U641">
        <v>0.21802618328298087</v>
      </c>
    </row>
    <row r="642" spans="1:21">
      <c r="A642">
        <v>870</v>
      </c>
      <c r="B642" s="1">
        <v>45897</v>
      </c>
      <c r="C642" t="s">
        <v>203</v>
      </c>
      <c r="D642" t="s">
        <v>562</v>
      </c>
      <c r="E642" t="s">
        <v>23</v>
      </c>
      <c r="F642" t="s">
        <v>43</v>
      </c>
      <c r="G642" t="s">
        <v>99</v>
      </c>
      <c r="H642" t="s">
        <v>26</v>
      </c>
      <c r="I642">
        <v>2</v>
      </c>
      <c r="J642">
        <v>19786.3</v>
      </c>
      <c r="K642">
        <v>0.1</v>
      </c>
      <c r="L642">
        <v>35615.339999999997</v>
      </c>
      <c r="M642">
        <v>25723.56</v>
      </c>
      <c r="N642">
        <v>9891.7800000000007</v>
      </c>
      <c r="O642" t="s">
        <v>38</v>
      </c>
      <c r="P642" t="s">
        <v>45</v>
      </c>
      <c r="Q642" t="s">
        <v>46</v>
      </c>
      <c r="R642" t="s">
        <v>577</v>
      </c>
      <c r="S642">
        <v>8</v>
      </c>
      <c r="T642" t="s">
        <v>550</v>
      </c>
      <c r="U642">
        <v>0.27773931120691259</v>
      </c>
    </row>
    <row r="643" spans="1:21">
      <c r="A643">
        <v>1000</v>
      </c>
      <c r="B643" s="1">
        <v>45897</v>
      </c>
      <c r="C643" t="s">
        <v>584</v>
      </c>
      <c r="D643" t="s">
        <v>22</v>
      </c>
      <c r="E643" t="s">
        <v>23</v>
      </c>
      <c r="F643" t="s">
        <v>58</v>
      </c>
      <c r="G643" t="s">
        <v>99</v>
      </c>
      <c r="H643" t="s">
        <v>26</v>
      </c>
      <c r="I643">
        <v>1</v>
      </c>
      <c r="J643">
        <v>27525.5</v>
      </c>
      <c r="K643">
        <v>0.1</v>
      </c>
      <c r="L643">
        <v>24772.95</v>
      </c>
      <c r="M643">
        <v>19914.189999999999</v>
      </c>
      <c r="N643">
        <v>4858.76</v>
      </c>
      <c r="O643" t="s">
        <v>38</v>
      </c>
      <c r="P643" t="s">
        <v>78</v>
      </c>
      <c r="Q643" t="s">
        <v>29</v>
      </c>
      <c r="R643" t="s">
        <v>577</v>
      </c>
      <c r="S643">
        <v>8</v>
      </c>
      <c r="T643" t="s">
        <v>550</v>
      </c>
      <c r="U643">
        <v>0.1961316678070234</v>
      </c>
    </row>
    <row r="644" spans="1:21">
      <c r="A644">
        <v>17</v>
      </c>
      <c r="B644" s="1">
        <v>45897</v>
      </c>
      <c r="C644" t="s">
        <v>93</v>
      </c>
      <c r="D644" t="s">
        <v>248</v>
      </c>
      <c r="E644" t="s">
        <v>23</v>
      </c>
      <c r="F644" t="s">
        <v>43</v>
      </c>
      <c r="G644" t="s">
        <v>44</v>
      </c>
      <c r="H644" t="s">
        <v>26</v>
      </c>
      <c r="I644">
        <v>2</v>
      </c>
      <c r="J644">
        <v>69564.33</v>
      </c>
      <c r="K644">
        <v>0.1</v>
      </c>
      <c r="L644">
        <v>125215.79</v>
      </c>
      <c r="M644">
        <v>121833.58</v>
      </c>
      <c r="N644">
        <v>3382.21</v>
      </c>
      <c r="O644" t="s">
        <v>38</v>
      </c>
      <c r="P644" t="s">
        <v>78</v>
      </c>
      <c r="Q644" t="s">
        <v>46</v>
      </c>
      <c r="R644" t="s">
        <v>577</v>
      </c>
      <c r="S644">
        <v>8</v>
      </c>
      <c r="T644" t="s">
        <v>550</v>
      </c>
      <c r="U644">
        <v>2.7011050283674291E-2</v>
      </c>
    </row>
    <row r="645" spans="1:21">
      <c r="A645">
        <v>985</v>
      </c>
      <c r="B645" s="1">
        <v>45898</v>
      </c>
      <c r="C645" t="s">
        <v>211</v>
      </c>
      <c r="D645" t="s">
        <v>407</v>
      </c>
      <c r="E645" t="s">
        <v>34</v>
      </c>
      <c r="F645" t="s">
        <v>49</v>
      </c>
      <c r="G645" t="s">
        <v>134</v>
      </c>
      <c r="H645" t="s">
        <v>26</v>
      </c>
      <c r="I645">
        <v>4</v>
      </c>
      <c r="J645">
        <v>33268.79</v>
      </c>
      <c r="K645">
        <v>0.05</v>
      </c>
      <c r="L645">
        <v>126421.4</v>
      </c>
      <c r="M645">
        <v>82855.06</v>
      </c>
      <c r="N645">
        <v>43566.34</v>
      </c>
      <c r="O645" t="s">
        <v>38</v>
      </c>
      <c r="P645" t="s">
        <v>71</v>
      </c>
      <c r="Q645" t="s">
        <v>46</v>
      </c>
      <c r="R645" t="s">
        <v>577</v>
      </c>
      <c r="S645">
        <v>8</v>
      </c>
      <c r="T645" t="s">
        <v>550</v>
      </c>
      <c r="U645">
        <v>0.34461206726076438</v>
      </c>
    </row>
    <row r="646" spans="1:21">
      <c r="A646">
        <v>183</v>
      </c>
      <c r="B646" s="1">
        <v>45899</v>
      </c>
      <c r="C646" t="s">
        <v>609</v>
      </c>
      <c r="D646" t="s">
        <v>610</v>
      </c>
      <c r="E646" t="s">
        <v>97</v>
      </c>
      <c r="F646" t="s">
        <v>98</v>
      </c>
      <c r="G646" t="s">
        <v>25</v>
      </c>
      <c r="H646" t="s">
        <v>26</v>
      </c>
      <c r="I646">
        <v>2</v>
      </c>
      <c r="J646">
        <v>17010.16</v>
      </c>
      <c r="K646">
        <v>0.15</v>
      </c>
      <c r="L646">
        <v>28917.27</v>
      </c>
      <c r="M646">
        <v>23563.68</v>
      </c>
      <c r="N646">
        <v>5353.59</v>
      </c>
      <c r="O646" t="s">
        <v>27</v>
      </c>
      <c r="P646" t="s">
        <v>39</v>
      </c>
      <c r="Q646" t="s">
        <v>46</v>
      </c>
      <c r="R646" t="s">
        <v>577</v>
      </c>
      <c r="S646">
        <v>8</v>
      </c>
      <c r="T646" t="s">
        <v>550</v>
      </c>
      <c r="U646">
        <v>0.18513469632506804</v>
      </c>
    </row>
    <row r="647" spans="1:21">
      <c r="A647">
        <v>38</v>
      </c>
      <c r="B647" s="1">
        <v>45899</v>
      </c>
      <c r="C647" t="s">
        <v>211</v>
      </c>
      <c r="D647" t="s">
        <v>179</v>
      </c>
      <c r="E647" t="s">
        <v>34</v>
      </c>
      <c r="F647" t="s">
        <v>35</v>
      </c>
      <c r="G647" t="s">
        <v>62</v>
      </c>
      <c r="H647" t="s">
        <v>63</v>
      </c>
      <c r="I647">
        <v>2</v>
      </c>
      <c r="J647">
        <v>167.67</v>
      </c>
      <c r="K647">
        <v>0.02</v>
      </c>
      <c r="L647">
        <v>328.63</v>
      </c>
      <c r="M647">
        <v>211.31</v>
      </c>
      <c r="N647">
        <v>117.32</v>
      </c>
      <c r="O647" t="s">
        <v>38</v>
      </c>
      <c r="P647" t="s">
        <v>45</v>
      </c>
      <c r="Q647" t="s">
        <v>29</v>
      </c>
      <c r="R647" t="s">
        <v>577</v>
      </c>
      <c r="S647">
        <v>8</v>
      </c>
      <c r="T647" t="s">
        <v>550</v>
      </c>
      <c r="U647">
        <v>0.35699723092839969</v>
      </c>
    </row>
    <row r="648" spans="1:21">
      <c r="A648">
        <v>588</v>
      </c>
      <c r="B648" s="1">
        <v>45899</v>
      </c>
      <c r="C648" t="s">
        <v>293</v>
      </c>
      <c r="D648" t="s">
        <v>61</v>
      </c>
      <c r="E648" t="s">
        <v>97</v>
      </c>
      <c r="F648" t="s">
        <v>104</v>
      </c>
      <c r="G648" t="s">
        <v>145</v>
      </c>
      <c r="H648" t="s">
        <v>70</v>
      </c>
      <c r="I648">
        <v>2</v>
      </c>
      <c r="J648">
        <v>1722.96</v>
      </c>
      <c r="K648">
        <v>0.15</v>
      </c>
      <c r="L648">
        <v>2929.03</v>
      </c>
      <c r="M648">
        <v>2404.85</v>
      </c>
      <c r="N648">
        <v>524.17999999999995</v>
      </c>
      <c r="O648" t="s">
        <v>27</v>
      </c>
      <c r="P648" t="s">
        <v>39</v>
      </c>
      <c r="Q648" t="s">
        <v>40</v>
      </c>
      <c r="R648" t="s">
        <v>577</v>
      </c>
      <c r="S648">
        <v>8</v>
      </c>
      <c r="T648" t="s">
        <v>550</v>
      </c>
      <c r="U648">
        <v>0.17896027012355623</v>
      </c>
    </row>
    <row r="649" spans="1:21">
      <c r="A649">
        <v>534</v>
      </c>
      <c r="B649" s="1">
        <v>45899</v>
      </c>
      <c r="C649" t="s">
        <v>597</v>
      </c>
      <c r="D649" t="s">
        <v>320</v>
      </c>
      <c r="E649" t="s">
        <v>23</v>
      </c>
      <c r="F649" t="s">
        <v>24</v>
      </c>
      <c r="G649" t="s">
        <v>62</v>
      </c>
      <c r="H649" t="s">
        <v>63</v>
      </c>
      <c r="I649">
        <v>1</v>
      </c>
      <c r="J649">
        <v>232.15</v>
      </c>
      <c r="K649">
        <v>0</v>
      </c>
      <c r="L649">
        <v>232.15</v>
      </c>
      <c r="M649">
        <v>148.96</v>
      </c>
      <c r="N649">
        <v>83.19</v>
      </c>
      <c r="O649" t="s">
        <v>38</v>
      </c>
      <c r="P649" t="s">
        <v>71</v>
      </c>
      <c r="Q649" t="s">
        <v>46</v>
      </c>
      <c r="R649" t="s">
        <v>577</v>
      </c>
      <c r="S649">
        <v>8</v>
      </c>
      <c r="T649" t="s">
        <v>550</v>
      </c>
      <c r="U649">
        <v>0.35834589704932152</v>
      </c>
    </row>
    <row r="650" spans="1:21">
      <c r="A650">
        <v>133</v>
      </c>
      <c r="B650" s="1">
        <v>45899</v>
      </c>
      <c r="C650" t="s">
        <v>611</v>
      </c>
      <c r="D650" t="s">
        <v>386</v>
      </c>
      <c r="E650" t="s">
        <v>97</v>
      </c>
      <c r="F650" t="s">
        <v>98</v>
      </c>
      <c r="G650" t="s">
        <v>145</v>
      </c>
      <c r="H650" t="s">
        <v>70</v>
      </c>
      <c r="I650">
        <v>2</v>
      </c>
      <c r="J650">
        <v>1550.86</v>
      </c>
      <c r="K650">
        <v>0</v>
      </c>
      <c r="L650">
        <v>3101.72</v>
      </c>
      <c r="M650">
        <v>2374.39</v>
      </c>
      <c r="N650">
        <v>727.33</v>
      </c>
      <c r="O650" t="s">
        <v>38</v>
      </c>
      <c r="P650" t="s">
        <v>28</v>
      </c>
      <c r="Q650" t="s">
        <v>29</v>
      </c>
      <c r="R650" t="s">
        <v>577</v>
      </c>
      <c r="S650">
        <v>8</v>
      </c>
      <c r="T650" t="s">
        <v>550</v>
      </c>
      <c r="U650">
        <v>0.23449247514282401</v>
      </c>
    </row>
    <row r="651" spans="1:21">
      <c r="A651">
        <v>629</v>
      </c>
      <c r="B651" s="1">
        <v>45900</v>
      </c>
      <c r="C651" t="s">
        <v>612</v>
      </c>
      <c r="D651" t="s">
        <v>613</v>
      </c>
      <c r="E651" t="s">
        <v>97</v>
      </c>
      <c r="F651" t="s">
        <v>98</v>
      </c>
      <c r="G651" t="s">
        <v>105</v>
      </c>
      <c r="H651" t="s">
        <v>26</v>
      </c>
      <c r="I651">
        <v>2</v>
      </c>
      <c r="J651">
        <v>5052.32</v>
      </c>
      <c r="K651">
        <v>0.02</v>
      </c>
      <c r="L651">
        <v>9902.5499999999993</v>
      </c>
      <c r="M651">
        <v>7059.93</v>
      </c>
      <c r="N651">
        <v>2842.62</v>
      </c>
      <c r="O651" t="s">
        <v>38</v>
      </c>
      <c r="P651" t="s">
        <v>45</v>
      </c>
      <c r="Q651" t="s">
        <v>40</v>
      </c>
      <c r="R651" t="s">
        <v>577</v>
      </c>
      <c r="S651">
        <v>8</v>
      </c>
      <c r="T651" t="s">
        <v>550</v>
      </c>
      <c r="U651">
        <v>0.287059393792508</v>
      </c>
    </row>
    <row r="652" spans="1:21">
      <c r="A652">
        <v>882</v>
      </c>
      <c r="B652" s="1">
        <v>45900</v>
      </c>
      <c r="C652" t="s">
        <v>260</v>
      </c>
      <c r="D652" t="s">
        <v>409</v>
      </c>
      <c r="E652" t="s">
        <v>34</v>
      </c>
      <c r="F652" t="s">
        <v>49</v>
      </c>
      <c r="G652" t="s">
        <v>134</v>
      </c>
      <c r="H652" t="s">
        <v>26</v>
      </c>
      <c r="I652">
        <v>3</v>
      </c>
      <c r="J652">
        <v>34047.78</v>
      </c>
      <c r="K652">
        <v>0.05</v>
      </c>
      <c r="L652">
        <v>97036.17</v>
      </c>
      <c r="M652">
        <v>64274.63</v>
      </c>
      <c r="N652">
        <v>32761.54</v>
      </c>
      <c r="O652" t="s">
        <v>38</v>
      </c>
      <c r="P652" t="s">
        <v>71</v>
      </c>
      <c r="Q652" t="s">
        <v>46</v>
      </c>
      <c r="R652" t="s">
        <v>577</v>
      </c>
      <c r="S652">
        <v>8</v>
      </c>
      <c r="T652" t="s">
        <v>550</v>
      </c>
      <c r="U652">
        <v>0.33762194035481824</v>
      </c>
    </row>
    <row r="653" spans="1:21">
      <c r="A653">
        <v>420</v>
      </c>
      <c r="B653" s="1">
        <v>45900</v>
      </c>
      <c r="C653" t="s">
        <v>546</v>
      </c>
      <c r="D653" t="s">
        <v>420</v>
      </c>
      <c r="E653" t="s">
        <v>23</v>
      </c>
      <c r="F653" t="s">
        <v>43</v>
      </c>
      <c r="G653" t="s">
        <v>50</v>
      </c>
      <c r="H653" t="s">
        <v>51</v>
      </c>
      <c r="I653">
        <v>2</v>
      </c>
      <c r="J653">
        <v>398</v>
      </c>
      <c r="K653">
        <v>0.1</v>
      </c>
      <c r="L653">
        <v>716.4</v>
      </c>
      <c r="M653">
        <v>560.95000000000005</v>
      </c>
      <c r="N653">
        <v>155.44999999999999</v>
      </c>
      <c r="O653" t="s">
        <v>27</v>
      </c>
      <c r="P653" t="s">
        <v>78</v>
      </c>
      <c r="Q653" t="s">
        <v>29</v>
      </c>
      <c r="R653" t="s">
        <v>577</v>
      </c>
      <c r="S653">
        <v>8</v>
      </c>
      <c r="T653" t="s">
        <v>550</v>
      </c>
      <c r="U653">
        <v>0.21698771635957564</v>
      </c>
    </row>
    <row r="654" spans="1:21">
      <c r="A654">
        <v>81</v>
      </c>
      <c r="B654" s="1">
        <v>45900</v>
      </c>
      <c r="C654" t="s">
        <v>273</v>
      </c>
      <c r="D654" t="s">
        <v>551</v>
      </c>
      <c r="E654" t="s">
        <v>76</v>
      </c>
      <c r="F654" t="s">
        <v>81</v>
      </c>
      <c r="G654" t="s">
        <v>99</v>
      </c>
      <c r="H654" t="s">
        <v>26</v>
      </c>
      <c r="I654">
        <v>1</v>
      </c>
      <c r="J654">
        <v>24167.3</v>
      </c>
      <c r="K654">
        <v>0.05</v>
      </c>
      <c r="L654">
        <v>22958.93</v>
      </c>
      <c r="M654">
        <v>19012.38</v>
      </c>
      <c r="N654">
        <v>3946.55</v>
      </c>
      <c r="O654" t="s">
        <v>38</v>
      </c>
      <c r="P654" t="s">
        <v>39</v>
      </c>
      <c r="Q654" t="s">
        <v>29</v>
      </c>
      <c r="R654" t="s">
        <v>577</v>
      </c>
      <c r="S654">
        <v>8</v>
      </c>
      <c r="T654" t="s">
        <v>550</v>
      </c>
      <c r="U654">
        <v>0.1718960770384334</v>
      </c>
    </row>
    <row r="655" spans="1:21">
      <c r="A655">
        <v>810</v>
      </c>
      <c r="B655" s="1">
        <v>45901</v>
      </c>
      <c r="C655" t="s">
        <v>417</v>
      </c>
      <c r="D655" t="s">
        <v>216</v>
      </c>
      <c r="E655" t="s">
        <v>54</v>
      </c>
      <c r="F655" t="s">
        <v>55</v>
      </c>
      <c r="G655" t="s">
        <v>50</v>
      </c>
      <c r="H655" t="s">
        <v>51</v>
      </c>
      <c r="I655">
        <v>4</v>
      </c>
      <c r="J655">
        <v>346.31</v>
      </c>
      <c r="K655">
        <v>0.1</v>
      </c>
      <c r="L655">
        <v>1246.72</v>
      </c>
      <c r="M655">
        <v>972.28</v>
      </c>
      <c r="N655">
        <v>274.44</v>
      </c>
      <c r="O655" t="s">
        <v>27</v>
      </c>
      <c r="P655" t="s">
        <v>71</v>
      </c>
      <c r="Q655" t="s">
        <v>46</v>
      </c>
      <c r="R655" t="s">
        <v>614</v>
      </c>
      <c r="S655">
        <v>9</v>
      </c>
      <c r="T655" t="s">
        <v>550</v>
      </c>
      <c r="U655">
        <v>0.22012962012320328</v>
      </c>
    </row>
    <row r="656" spans="1:21">
      <c r="A656">
        <v>202</v>
      </c>
      <c r="B656" s="1">
        <v>45902</v>
      </c>
      <c r="C656" t="s">
        <v>211</v>
      </c>
      <c r="D656" t="s">
        <v>186</v>
      </c>
      <c r="E656" t="s">
        <v>23</v>
      </c>
      <c r="F656" t="s">
        <v>58</v>
      </c>
      <c r="G656" t="s">
        <v>145</v>
      </c>
      <c r="H656" t="s">
        <v>70</v>
      </c>
      <c r="I656">
        <v>1</v>
      </c>
      <c r="J656">
        <v>964.22</v>
      </c>
      <c r="K656">
        <v>0.05</v>
      </c>
      <c r="L656">
        <v>916.01</v>
      </c>
      <c r="M656">
        <v>672.71</v>
      </c>
      <c r="N656">
        <v>243.3</v>
      </c>
      <c r="O656" t="s">
        <v>38</v>
      </c>
      <c r="P656" t="s">
        <v>71</v>
      </c>
      <c r="Q656" t="s">
        <v>29</v>
      </c>
      <c r="R656" t="s">
        <v>614</v>
      </c>
      <c r="S656">
        <v>9</v>
      </c>
      <c r="T656" t="s">
        <v>550</v>
      </c>
      <c r="U656">
        <v>0.26560845405617844</v>
      </c>
    </row>
    <row r="657" spans="1:21">
      <c r="A657">
        <v>592</v>
      </c>
      <c r="B657" s="1">
        <v>45903</v>
      </c>
      <c r="C657" t="s">
        <v>142</v>
      </c>
      <c r="D657" t="s">
        <v>137</v>
      </c>
      <c r="E657" t="s">
        <v>23</v>
      </c>
      <c r="F657" t="s">
        <v>58</v>
      </c>
      <c r="G657" t="s">
        <v>59</v>
      </c>
      <c r="H657" t="s">
        <v>37</v>
      </c>
      <c r="I657">
        <v>4</v>
      </c>
      <c r="J657">
        <v>17820.3</v>
      </c>
      <c r="K657">
        <v>0</v>
      </c>
      <c r="L657">
        <v>71281.2</v>
      </c>
      <c r="M657">
        <v>44537.79</v>
      </c>
      <c r="N657">
        <v>26743.41</v>
      </c>
      <c r="O657" t="s">
        <v>27</v>
      </c>
      <c r="P657" t="s">
        <v>78</v>
      </c>
      <c r="Q657" t="s">
        <v>46</v>
      </c>
      <c r="R657" t="s">
        <v>614</v>
      </c>
      <c r="S657">
        <v>9</v>
      </c>
      <c r="T657" t="s">
        <v>550</v>
      </c>
      <c r="U657">
        <v>0.37518181512095755</v>
      </c>
    </row>
    <row r="658" spans="1:21">
      <c r="A658">
        <v>415</v>
      </c>
      <c r="B658" s="1">
        <v>45903</v>
      </c>
      <c r="C658" t="s">
        <v>366</v>
      </c>
      <c r="D658" t="s">
        <v>425</v>
      </c>
      <c r="E658" t="s">
        <v>54</v>
      </c>
      <c r="F658" t="s">
        <v>108</v>
      </c>
      <c r="G658" t="s">
        <v>36</v>
      </c>
      <c r="H658" t="s">
        <v>37</v>
      </c>
      <c r="I658">
        <v>1</v>
      </c>
      <c r="J658">
        <v>7885.83</v>
      </c>
      <c r="K658">
        <v>0.02</v>
      </c>
      <c r="L658">
        <v>7728.11</v>
      </c>
      <c r="M658">
        <v>5404.01</v>
      </c>
      <c r="N658">
        <v>2324.1</v>
      </c>
      <c r="O658" t="s">
        <v>27</v>
      </c>
      <c r="P658" t="s">
        <v>28</v>
      </c>
      <c r="Q658" t="s">
        <v>40</v>
      </c>
      <c r="R658" t="s">
        <v>614</v>
      </c>
      <c r="S658">
        <v>9</v>
      </c>
      <c r="T658" t="s">
        <v>550</v>
      </c>
      <c r="U658">
        <v>0.30073329701569984</v>
      </c>
    </row>
    <row r="659" spans="1:21">
      <c r="A659">
        <v>472</v>
      </c>
      <c r="B659" s="1">
        <v>45903</v>
      </c>
      <c r="C659" t="s">
        <v>469</v>
      </c>
      <c r="D659" t="s">
        <v>586</v>
      </c>
      <c r="E659" t="s">
        <v>97</v>
      </c>
      <c r="F659" t="s">
        <v>98</v>
      </c>
      <c r="G659" t="s">
        <v>44</v>
      </c>
      <c r="H659" t="s">
        <v>26</v>
      </c>
      <c r="I659">
        <v>3</v>
      </c>
      <c r="J659">
        <v>66956.800000000003</v>
      </c>
      <c r="K659">
        <v>0.1</v>
      </c>
      <c r="L659">
        <v>180783.35999999999</v>
      </c>
      <c r="M659">
        <v>157180.03</v>
      </c>
      <c r="N659">
        <v>23603.33</v>
      </c>
      <c r="O659" t="s">
        <v>38</v>
      </c>
      <c r="P659" t="s">
        <v>39</v>
      </c>
      <c r="Q659" t="s">
        <v>29</v>
      </c>
      <c r="R659" t="s">
        <v>614</v>
      </c>
      <c r="S659">
        <v>9</v>
      </c>
      <c r="T659" t="s">
        <v>550</v>
      </c>
      <c r="U659">
        <v>0.13056140786408663</v>
      </c>
    </row>
    <row r="660" spans="1:21">
      <c r="A660">
        <v>518</v>
      </c>
      <c r="B660" s="1">
        <v>45903</v>
      </c>
      <c r="C660" t="s">
        <v>225</v>
      </c>
      <c r="D660" t="s">
        <v>461</v>
      </c>
      <c r="E660" t="s">
        <v>34</v>
      </c>
      <c r="F660" t="s">
        <v>49</v>
      </c>
      <c r="G660" t="s">
        <v>44</v>
      </c>
      <c r="H660" t="s">
        <v>26</v>
      </c>
      <c r="I660">
        <v>2</v>
      </c>
      <c r="J660">
        <v>62865.23</v>
      </c>
      <c r="K660">
        <v>0.05</v>
      </c>
      <c r="L660">
        <v>119443.94</v>
      </c>
      <c r="M660">
        <v>106092.33</v>
      </c>
      <c r="N660">
        <v>13351.61</v>
      </c>
      <c r="O660" t="s">
        <v>27</v>
      </c>
      <c r="P660" t="s">
        <v>71</v>
      </c>
      <c r="Q660" t="s">
        <v>40</v>
      </c>
      <c r="R660" t="s">
        <v>614</v>
      </c>
      <c r="S660">
        <v>9</v>
      </c>
      <c r="T660" t="s">
        <v>550</v>
      </c>
      <c r="U660">
        <v>0.11178139301165049</v>
      </c>
    </row>
    <row r="661" spans="1:21">
      <c r="A661">
        <v>286</v>
      </c>
      <c r="B661" s="1">
        <v>45904</v>
      </c>
      <c r="C661" t="s">
        <v>319</v>
      </c>
      <c r="D661" t="s">
        <v>528</v>
      </c>
      <c r="E661" t="s">
        <v>76</v>
      </c>
      <c r="F661" t="s">
        <v>81</v>
      </c>
      <c r="G661" t="s">
        <v>134</v>
      </c>
      <c r="H661" t="s">
        <v>26</v>
      </c>
      <c r="I661">
        <v>1</v>
      </c>
      <c r="J661">
        <v>43837.51</v>
      </c>
      <c r="K661">
        <v>0.15</v>
      </c>
      <c r="L661">
        <v>37261.879999999997</v>
      </c>
      <c r="M661">
        <v>38040.14</v>
      </c>
      <c r="N661">
        <v>-778.26</v>
      </c>
      <c r="O661" t="s">
        <v>27</v>
      </c>
      <c r="P661" t="s">
        <v>78</v>
      </c>
      <c r="Q661" t="s">
        <v>46</v>
      </c>
      <c r="R661" t="s">
        <v>614</v>
      </c>
      <c r="S661">
        <v>9</v>
      </c>
      <c r="T661" t="s">
        <v>550</v>
      </c>
      <c r="U661">
        <v>-2.0886224742283535E-2</v>
      </c>
    </row>
    <row r="662" spans="1:21">
      <c r="A662">
        <v>109</v>
      </c>
      <c r="B662" s="1">
        <v>45904</v>
      </c>
      <c r="C662" t="s">
        <v>426</v>
      </c>
      <c r="D662" t="s">
        <v>528</v>
      </c>
      <c r="E662" t="s">
        <v>54</v>
      </c>
      <c r="F662" t="s">
        <v>108</v>
      </c>
      <c r="G662" t="s">
        <v>134</v>
      </c>
      <c r="H662" t="s">
        <v>26</v>
      </c>
      <c r="I662">
        <v>1</v>
      </c>
      <c r="J662">
        <v>18902.830000000002</v>
      </c>
      <c r="K662">
        <v>0.02</v>
      </c>
      <c r="L662">
        <v>18524.77</v>
      </c>
      <c r="M662">
        <v>11824.29</v>
      </c>
      <c r="N662">
        <v>6700.48</v>
      </c>
      <c r="O662" t="s">
        <v>27</v>
      </c>
      <c r="P662" t="s">
        <v>39</v>
      </c>
      <c r="Q662" t="s">
        <v>46</v>
      </c>
      <c r="R662" t="s">
        <v>614</v>
      </c>
      <c r="S662">
        <v>9</v>
      </c>
      <c r="T662" t="s">
        <v>550</v>
      </c>
      <c r="U662">
        <v>0.361703816025786</v>
      </c>
    </row>
    <row r="663" spans="1:21">
      <c r="A663">
        <v>282</v>
      </c>
      <c r="B663" s="1">
        <v>45905</v>
      </c>
      <c r="C663" t="s">
        <v>615</v>
      </c>
      <c r="D663" t="s">
        <v>68</v>
      </c>
      <c r="E663" t="s">
        <v>34</v>
      </c>
      <c r="F663" t="s">
        <v>49</v>
      </c>
      <c r="G663" t="s">
        <v>44</v>
      </c>
      <c r="H663" t="s">
        <v>26</v>
      </c>
      <c r="I663">
        <v>2</v>
      </c>
      <c r="J663">
        <v>73612.14</v>
      </c>
      <c r="K663">
        <v>0.1</v>
      </c>
      <c r="L663">
        <v>132501.85</v>
      </c>
      <c r="M663">
        <v>100092.67</v>
      </c>
      <c r="N663">
        <v>32409.18</v>
      </c>
      <c r="O663" t="s">
        <v>27</v>
      </c>
      <c r="P663" t="s">
        <v>39</v>
      </c>
      <c r="Q663" t="s">
        <v>40</v>
      </c>
      <c r="R663" t="s">
        <v>614</v>
      </c>
      <c r="S663">
        <v>9</v>
      </c>
      <c r="T663" t="s">
        <v>550</v>
      </c>
      <c r="U663">
        <v>0.2445941698172516</v>
      </c>
    </row>
    <row r="664" spans="1:21">
      <c r="A664">
        <v>309</v>
      </c>
      <c r="B664" s="1">
        <v>45905</v>
      </c>
      <c r="C664" t="s">
        <v>289</v>
      </c>
      <c r="D664" t="s">
        <v>65</v>
      </c>
      <c r="E664" t="s">
        <v>54</v>
      </c>
      <c r="F664" t="s">
        <v>127</v>
      </c>
      <c r="G664" t="s">
        <v>99</v>
      </c>
      <c r="H664" t="s">
        <v>26</v>
      </c>
      <c r="I664">
        <v>4</v>
      </c>
      <c r="J664">
        <v>23101.06</v>
      </c>
      <c r="K664">
        <v>0.05</v>
      </c>
      <c r="L664">
        <v>87784.03</v>
      </c>
      <c r="M664">
        <v>76156.789999999994</v>
      </c>
      <c r="N664">
        <v>11627.24</v>
      </c>
      <c r="O664" t="s">
        <v>27</v>
      </c>
      <c r="P664" t="s">
        <v>45</v>
      </c>
      <c r="Q664" t="s">
        <v>29</v>
      </c>
      <c r="R664" t="s">
        <v>614</v>
      </c>
      <c r="S664">
        <v>9</v>
      </c>
      <c r="T664" t="s">
        <v>550</v>
      </c>
      <c r="U664">
        <v>0.13245279352064379</v>
      </c>
    </row>
    <row r="665" spans="1:21">
      <c r="A665">
        <v>296</v>
      </c>
      <c r="B665" s="1">
        <v>45905</v>
      </c>
      <c r="C665" t="s">
        <v>398</v>
      </c>
      <c r="D665" t="s">
        <v>588</v>
      </c>
      <c r="E665" t="s">
        <v>76</v>
      </c>
      <c r="F665" t="s">
        <v>77</v>
      </c>
      <c r="G665" t="s">
        <v>99</v>
      </c>
      <c r="H665" t="s">
        <v>26</v>
      </c>
      <c r="I665">
        <v>1</v>
      </c>
      <c r="J665">
        <v>12183.5</v>
      </c>
      <c r="K665">
        <v>0</v>
      </c>
      <c r="L665">
        <v>12183.5</v>
      </c>
      <c r="M665">
        <v>9261.4699999999993</v>
      </c>
      <c r="N665">
        <v>2922.03</v>
      </c>
      <c r="O665" t="s">
        <v>38</v>
      </c>
      <c r="P665" t="s">
        <v>71</v>
      </c>
      <c r="Q665" t="s">
        <v>46</v>
      </c>
      <c r="R665" t="s">
        <v>614</v>
      </c>
      <c r="S665">
        <v>9</v>
      </c>
      <c r="T665" t="s">
        <v>550</v>
      </c>
      <c r="U665">
        <v>0.23983502277670621</v>
      </c>
    </row>
    <row r="666" spans="1:21">
      <c r="A666">
        <v>289</v>
      </c>
      <c r="B666" s="1">
        <v>45905</v>
      </c>
      <c r="C666" t="s">
        <v>32</v>
      </c>
      <c r="D666" t="s">
        <v>616</v>
      </c>
      <c r="E666" t="s">
        <v>76</v>
      </c>
      <c r="F666" t="s">
        <v>81</v>
      </c>
      <c r="G666" t="s">
        <v>62</v>
      </c>
      <c r="H666" t="s">
        <v>63</v>
      </c>
      <c r="I666">
        <v>1</v>
      </c>
      <c r="J666">
        <v>291.98</v>
      </c>
      <c r="K666">
        <v>0.1</v>
      </c>
      <c r="L666">
        <v>262.77999999999997</v>
      </c>
      <c r="M666">
        <v>202.96</v>
      </c>
      <c r="N666">
        <v>59.82</v>
      </c>
      <c r="O666" t="s">
        <v>27</v>
      </c>
      <c r="P666" t="s">
        <v>39</v>
      </c>
      <c r="Q666" t="s">
        <v>29</v>
      </c>
      <c r="R666" t="s">
        <v>614</v>
      </c>
      <c r="S666">
        <v>9</v>
      </c>
      <c r="T666" t="s">
        <v>550</v>
      </c>
      <c r="U666">
        <v>0.22764289519750364</v>
      </c>
    </row>
    <row r="667" spans="1:21">
      <c r="A667">
        <v>819</v>
      </c>
      <c r="B667" s="1">
        <v>45906</v>
      </c>
      <c r="C667" t="s">
        <v>197</v>
      </c>
      <c r="D667" t="s">
        <v>605</v>
      </c>
      <c r="E667" t="s">
        <v>23</v>
      </c>
      <c r="F667" t="s">
        <v>58</v>
      </c>
      <c r="G667" t="s">
        <v>69</v>
      </c>
      <c r="H667" t="s">
        <v>70</v>
      </c>
      <c r="I667">
        <v>1</v>
      </c>
      <c r="J667">
        <v>2710.31</v>
      </c>
      <c r="K667">
        <v>0</v>
      </c>
      <c r="L667">
        <v>2710.31</v>
      </c>
      <c r="M667">
        <v>2293.6</v>
      </c>
      <c r="N667">
        <v>416.71</v>
      </c>
      <c r="O667" t="s">
        <v>38</v>
      </c>
      <c r="P667" t="s">
        <v>78</v>
      </c>
      <c r="Q667" t="s">
        <v>46</v>
      </c>
      <c r="R667" t="s">
        <v>614</v>
      </c>
      <c r="S667">
        <v>9</v>
      </c>
      <c r="T667" t="s">
        <v>550</v>
      </c>
      <c r="U667">
        <v>0.15374994004375883</v>
      </c>
    </row>
    <row r="668" spans="1:21">
      <c r="A668">
        <v>635</v>
      </c>
      <c r="B668" s="1">
        <v>45907</v>
      </c>
      <c r="C668" t="s">
        <v>197</v>
      </c>
      <c r="D668" t="s">
        <v>568</v>
      </c>
      <c r="E668" t="s">
        <v>34</v>
      </c>
      <c r="F668" t="s">
        <v>86</v>
      </c>
      <c r="G668" t="s">
        <v>59</v>
      </c>
      <c r="H668" t="s">
        <v>37</v>
      </c>
      <c r="I668">
        <v>2</v>
      </c>
      <c r="J668">
        <v>11412.65</v>
      </c>
      <c r="K668">
        <v>0.05</v>
      </c>
      <c r="L668">
        <v>21684.03</v>
      </c>
      <c r="M668">
        <v>17125.88</v>
      </c>
      <c r="N668">
        <v>4558.1499999999996</v>
      </c>
      <c r="O668" t="s">
        <v>27</v>
      </c>
      <c r="P668" t="s">
        <v>39</v>
      </c>
      <c r="Q668" t="s">
        <v>46</v>
      </c>
      <c r="R668" t="s">
        <v>614</v>
      </c>
      <c r="S668">
        <v>9</v>
      </c>
      <c r="T668" t="s">
        <v>550</v>
      </c>
      <c r="U668">
        <v>0.21020769663203748</v>
      </c>
    </row>
    <row r="669" spans="1:21">
      <c r="A669">
        <v>101</v>
      </c>
      <c r="B669" s="1">
        <v>45907</v>
      </c>
      <c r="C669" t="s">
        <v>389</v>
      </c>
      <c r="D669" t="s">
        <v>176</v>
      </c>
      <c r="E669" t="s">
        <v>23</v>
      </c>
      <c r="F669" t="s">
        <v>43</v>
      </c>
      <c r="G669" t="s">
        <v>36</v>
      </c>
      <c r="H669" t="s">
        <v>37</v>
      </c>
      <c r="I669">
        <v>1</v>
      </c>
      <c r="J669">
        <v>10796.86</v>
      </c>
      <c r="K669">
        <v>0.15</v>
      </c>
      <c r="L669">
        <v>9177.33</v>
      </c>
      <c r="M669">
        <v>8052.04</v>
      </c>
      <c r="N669">
        <v>1125.29</v>
      </c>
      <c r="O669" t="s">
        <v>27</v>
      </c>
      <c r="P669" t="s">
        <v>39</v>
      </c>
      <c r="Q669" t="s">
        <v>46</v>
      </c>
      <c r="R669" t="s">
        <v>614</v>
      </c>
      <c r="S669">
        <v>9</v>
      </c>
      <c r="T669" t="s">
        <v>550</v>
      </c>
      <c r="U669">
        <v>0.12261627292469596</v>
      </c>
    </row>
    <row r="670" spans="1:21">
      <c r="A670">
        <v>106</v>
      </c>
      <c r="B670" s="1">
        <v>45907</v>
      </c>
      <c r="C670" t="s">
        <v>524</v>
      </c>
      <c r="D670" t="s">
        <v>184</v>
      </c>
      <c r="E670" t="s">
        <v>34</v>
      </c>
      <c r="F670" t="s">
        <v>35</v>
      </c>
      <c r="G670" t="s">
        <v>66</v>
      </c>
      <c r="H670" t="s">
        <v>51</v>
      </c>
      <c r="I670">
        <v>1</v>
      </c>
      <c r="J670">
        <v>2429.4899999999998</v>
      </c>
      <c r="K670">
        <v>0.02</v>
      </c>
      <c r="L670">
        <v>2380.9</v>
      </c>
      <c r="M670">
        <v>1865.04</v>
      </c>
      <c r="N670">
        <v>515.86</v>
      </c>
      <c r="O670" t="s">
        <v>38</v>
      </c>
      <c r="P670" t="s">
        <v>28</v>
      </c>
      <c r="Q670" t="s">
        <v>46</v>
      </c>
      <c r="R670" t="s">
        <v>614</v>
      </c>
      <c r="S670">
        <v>9</v>
      </c>
      <c r="T670" t="s">
        <v>550</v>
      </c>
      <c r="U670">
        <v>0.21666596665126633</v>
      </c>
    </row>
    <row r="671" spans="1:21">
      <c r="A671">
        <v>200</v>
      </c>
      <c r="B671" s="1">
        <v>45908</v>
      </c>
      <c r="C671" t="s">
        <v>503</v>
      </c>
      <c r="D671" t="s">
        <v>68</v>
      </c>
      <c r="E671" t="s">
        <v>97</v>
      </c>
      <c r="F671" t="s">
        <v>104</v>
      </c>
      <c r="G671" t="s">
        <v>44</v>
      </c>
      <c r="H671" t="s">
        <v>26</v>
      </c>
      <c r="I671">
        <v>2</v>
      </c>
      <c r="J671">
        <v>56772.01</v>
      </c>
      <c r="K671">
        <v>0</v>
      </c>
      <c r="L671">
        <v>113544.02</v>
      </c>
      <c r="M671">
        <v>88057.77</v>
      </c>
      <c r="N671">
        <v>25486.25</v>
      </c>
      <c r="O671" t="s">
        <v>38</v>
      </c>
      <c r="P671" t="s">
        <v>78</v>
      </c>
      <c r="Q671" t="s">
        <v>46</v>
      </c>
      <c r="R671" t="s">
        <v>614</v>
      </c>
      <c r="S671">
        <v>9</v>
      </c>
      <c r="T671" t="s">
        <v>550</v>
      </c>
      <c r="U671">
        <v>0.22446140272292631</v>
      </c>
    </row>
    <row r="672" spans="1:21">
      <c r="A672">
        <v>399</v>
      </c>
      <c r="B672" s="1">
        <v>45908</v>
      </c>
      <c r="C672" t="s">
        <v>444</v>
      </c>
      <c r="D672" t="s">
        <v>588</v>
      </c>
      <c r="E672" t="s">
        <v>23</v>
      </c>
      <c r="F672" t="s">
        <v>58</v>
      </c>
      <c r="G672" t="s">
        <v>62</v>
      </c>
      <c r="H672" t="s">
        <v>63</v>
      </c>
      <c r="I672">
        <v>3</v>
      </c>
      <c r="J672">
        <v>141.16</v>
      </c>
      <c r="K672">
        <v>0</v>
      </c>
      <c r="L672">
        <v>423.48</v>
      </c>
      <c r="M672">
        <v>310.01</v>
      </c>
      <c r="N672">
        <v>113.47</v>
      </c>
      <c r="O672" t="s">
        <v>27</v>
      </c>
      <c r="P672" t="s">
        <v>39</v>
      </c>
      <c r="Q672" t="s">
        <v>29</v>
      </c>
      <c r="R672" t="s">
        <v>614</v>
      </c>
      <c r="S672">
        <v>9</v>
      </c>
      <c r="T672" t="s">
        <v>550</v>
      </c>
      <c r="U672">
        <v>0.2679465382072353</v>
      </c>
    </row>
    <row r="673" spans="1:21">
      <c r="A673">
        <v>520</v>
      </c>
      <c r="B673" s="1">
        <v>45908</v>
      </c>
      <c r="C673" t="s">
        <v>366</v>
      </c>
      <c r="D673" t="s">
        <v>459</v>
      </c>
      <c r="E673" t="s">
        <v>54</v>
      </c>
      <c r="F673" t="s">
        <v>108</v>
      </c>
      <c r="G673" t="s">
        <v>105</v>
      </c>
      <c r="H673" t="s">
        <v>26</v>
      </c>
      <c r="I673">
        <v>3</v>
      </c>
      <c r="J673">
        <v>5859.19</v>
      </c>
      <c r="K673">
        <v>0.05</v>
      </c>
      <c r="L673">
        <v>16698.689999999999</v>
      </c>
      <c r="M673">
        <v>11818.82</v>
      </c>
      <c r="N673">
        <v>4879.87</v>
      </c>
      <c r="O673" t="s">
        <v>27</v>
      </c>
      <c r="P673" t="s">
        <v>45</v>
      </c>
      <c r="Q673" t="s">
        <v>29</v>
      </c>
      <c r="R673" t="s">
        <v>614</v>
      </c>
      <c r="S673">
        <v>9</v>
      </c>
      <c r="T673" t="s">
        <v>550</v>
      </c>
      <c r="U673">
        <v>0.29223070791780675</v>
      </c>
    </row>
    <row r="674" spans="1:21">
      <c r="A674">
        <v>854</v>
      </c>
      <c r="B674" s="1">
        <v>45908</v>
      </c>
      <c r="C674" t="s">
        <v>303</v>
      </c>
      <c r="D674" t="s">
        <v>163</v>
      </c>
      <c r="E674" t="s">
        <v>76</v>
      </c>
      <c r="F674" t="s">
        <v>77</v>
      </c>
      <c r="G674" t="s">
        <v>36</v>
      </c>
      <c r="H674" t="s">
        <v>37</v>
      </c>
      <c r="I674">
        <v>2</v>
      </c>
      <c r="J674">
        <v>15510.83</v>
      </c>
      <c r="K674">
        <v>0.05</v>
      </c>
      <c r="L674">
        <v>29470.58</v>
      </c>
      <c r="M674">
        <v>25590.44</v>
      </c>
      <c r="N674">
        <v>3880.14</v>
      </c>
      <c r="O674" t="s">
        <v>38</v>
      </c>
      <c r="P674" t="s">
        <v>71</v>
      </c>
      <c r="Q674" t="s">
        <v>46</v>
      </c>
      <c r="R674" t="s">
        <v>614</v>
      </c>
      <c r="S674">
        <v>9</v>
      </c>
      <c r="T674" t="s">
        <v>550</v>
      </c>
      <c r="U674">
        <v>0.13166147391737792</v>
      </c>
    </row>
    <row r="675" spans="1:21">
      <c r="A675">
        <v>513</v>
      </c>
      <c r="B675" s="1">
        <v>45910</v>
      </c>
      <c r="C675" t="s">
        <v>601</v>
      </c>
      <c r="D675" t="s">
        <v>568</v>
      </c>
      <c r="E675" t="s">
        <v>23</v>
      </c>
      <c r="F675" t="s">
        <v>58</v>
      </c>
      <c r="G675" t="s">
        <v>99</v>
      </c>
      <c r="H675" t="s">
        <v>26</v>
      </c>
      <c r="I675">
        <v>2</v>
      </c>
      <c r="J675">
        <v>13148.67</v>
      </c>
      <c r="K675">
        <v>0.1</v>
      </c>
      <c r="L675">
        <v>23667.61</v>
      </c>
      <c r="M675">
        <v>16885.29</v>
      </c>
      <c r="N675">
        <v>6782.32</v>
      </c>
      <c r="O675" t="s">
        <v>27</v>
      </c>
      <c r="P675" t="s">
        <v>45</v>
      </c>
      <c r="Q675" t="s">
        <v>29</v>
      </c>
      <c r="R675" t="s">
        <v>614</v>
      </c>
      <c r="S675">
        <v>9</v>
      </c>
      <c r="T675" t="s">
        <v>550</v>
      </c>
      <c r="U675">
        <v>0.28656547915061975</v>
      </c>
    </row>
    <row r="676" spans="1:21">
      <c r="A676">
        <v>198</v>
      </c>
      <c r="B676" s="1">
        <v>45911</v>
      </c>
      <c r="C676" t="s">
        <v>481</v>
      </c>
      <c r="D676" t="s">
        <v>617</v>
      </c>
      <c r="E676" t="s">
        <v>54</v>
      </c>
      <c r="F676" t="s">
        <v>127</v>
      </c>
      <c r="G676" t="s">
        <v>105</v>
      </c>
      <c r="H676" t="s">
        <v>26</v>
      </c>
      <c r="I676">
        <v>1</v>
      </c>
      <c r="J676">
        <v>1641</v>
      </c>
      <c r="K676">
        <v>0.1</v>
      </c>
      <c r="L676">
        <v>1476.9</v>
      </c>
      <c r="M676">
        <v>1256.6300000000001</v>
      </c>
      <c r="N676">
        <v>220.27</v>
      </c>
      <c r="O676" t="s">
        <v>27</v>
      </c>
      <c r="P676" t="s">
        <v>45</v>
      </c>
      <c r="Q676" t="s">
        <v>46</v>
      </c>
      <c r="R676" t="s">
        <v>614</v>
      </c>
      <c r="S676">
        <v>9</v>
      </c>
      <c r="T676" t="s">
        <v>550</v>
      </c>
      <c r="U676">
        <v>0.14914347620014895</v>
      </c>
    </row>
    <row r="677" spans="1:21">
      <c r="A677">
        <v>404</v>
      </c>
      <c r="B677" s="1">
        <v>45911</v>
      </c>
      <c r="C677" t="s">
        <v>618</v>
      </c>
      <c r="D677" t="s">
        <v>428</v>
      </c>
      <c r="E677" t="s">
        <v>34</v>
      </c>
      <c r="F677" t="s">
        <v>49</v>
      </c>
      <c r="G677" t="s">
        <v>50</v>
      </c>
      <c r="H677" t="s">
        <v>51</v>
      </c>
      <c r="I677">
        <v>4</v>
      </c>
      <c r="J677">
        <v>942.44</v>
      </c>
      <c r="K677">
        <v>0.1</v>
      </c>
      <c r="L677">
        <v>3392.78</v>
      </c>
      <c r="M677">
        <v>2754.91</v>
      </c>
      <c r="N677">
        <v>637.87</v>
      </c>
      <c r="O677" t="s">
        <v>38</v>
      </c>
      <c r="P677" t="s">
        <v>71</v>
      </c>
      <c r="Q677" t="s">
        <v>29</v>
      </c>
      <c r="R677" t="s">
        <v>614</v>
      </c>
      <c r="S677">
        <v>9</v>
      </c>
      <c r="T677" t="s">
        <v>550</v>
      </c>
      <c r="U677">
        <v>0.18800806418335406</v>
      </c>
    </row>
    <row r="678" spans="1:21">
      <c r="A678">
        <v>907</v>
      </c>
      <c r="B678" s="1">
        <v>45911</v>
      </c>
      <c r="C678" t="s">
        <v>619</v>
      </c>
      <c r="D678" t="s">
        <v>141</v>
      </c>
      <c r="E678" t="s">
        <v>34</v>
      </c>
      <c r="F678" t="s">
        <v>49</v>
      </c>
      <c r="G678" t="s">
        <v>134</v>
      </c>
      <c r="H678" t="s">
        <v>26</v>
      </c>
      <c r="I678">
        <v>3</v>
      </c>
      <c r="J678">
        <v>25241.19</v>
      </c>
      <c r="K678">
        <v>0.02</v>
      </c>
      <c r="L678">
        <v>74209.100000000006</v>
      </c>
      <c r="M678">
        <v>47332.98</v>
      </c>
      <c r="N678">
        <v>26876.12</v>
      </c>
      <c r="O678" t="s">
        <v>38</v>
      </c>
      <c r="P678" t="s">
        <v>78</v>
      </c>
      <c r="Q678" t="s">
        <v>29</v>
      </c>
      <c r="R678" t="s">
        <v>614</v>
      </c>
      <c r="S678">
        <v>9</v>
      </c>
      <c r="T678" t="s">
        <v>550</v>
      </c>
      <c r="U678">
        <v>0.36216744307638815</v>
      </c>
    </row>
    <row r="679" spans="1:21">
      <c r="A679">
        <v>228</v>
      </c>
      <c r="B679" s="1">
        <v>45912</v>
      </c>
      <c r="C679" t="s">
        <v>117</v>
      </c>
      <c r="D679" t="s">
        <v>620</v>
      </c>
      <c r="E679" t="s">
        <v>54</v>
      </c>
      <c r="F679" t="s">
        <v>108</v>
      </c>
      <c r="G679" t="s">
        <v>25</v>
      </c>
      <c r="H679" t="s">
        <v>26</v>
      </c>
      <c r="I679">
        <v>3</v>
      </c>
      <c r="J679">
        <v>11286.53</v>
      </c>
      <c r="K679">
        <v>0</v>
      </c>
      <c r="L679">
        <v>33859.589999999997</v>
      </c>
      <c r="M679">
        <v>29699.85</v>
      </c>
      <c r="N679">
        <v>4159.74</v>
      </c>
      <c r="O679" t="s">
        <v>38</v>
      </c>
      <c r="P679" t="s">
        <v>28</v>
      </c>
      <c r="Q679" t="s">
        <v>40</v>
      </c>
      <c r="R679" t="s">
        <v>614</v>
      </c>
      <c r="S679">
        <v>9</v>
      </c>
      <c r="T679" t="s">
        <v>550</v>
      </c>
      <c r="U679">
        <v>0.12285263938517862</v>
      </c>
    </row>
    <row r="680" spans="1:21">
      <c r="A680">
        <v>789</v>
      </c>
      <c r="B680" s="1">
        <v>45912</v>
      </c>
      <c r="C680" t="s">
        <v>621</v>
      </c>
      <c r="D680" t="s">
        <v>437</v>
      </c>
      <c r="E680" t="s">
        <v>34</v>
      </c>
      <c r="F680" t="s">
        <v>49</v>
      </c>
      <c r="G680" t="s">
        <v>44</v>
      </c>
      <c r="H680" t="s">
        <v>26</v>
      </c>
      <c r="I680">
        <v>2</v>
      </c>
      <c r="J680">
        <v>57572.480000000003</v>
      </c>
      <c r="K680">
        <v>0</v>
      </c>
      <c r="L680">
        <v>115144.96000000001</v>
      </c>
      <c r="M680">
        <v>95799.71</v>
      </c>
      <c r="N680">
        <v>19345.25</v>
      </c>
      <c r="O680" t="s">
        <v>38</v>
      </c>
      <c r="P680" t="s">
        <v>28</v>
      </c>
      <c r="Q680" t="s">
        <v>29</v>
      </c>
      <c r="R680" t="s">
        <v>614</v>
      </c>
      <c r="S680">
        <v>9</v>
      </c>
      <c r="T680" t="s">
        <v>550</v>
      </c>
      <c r="U680">
        <v>0.16800778774859099</v>
      </c>
    </row>
    <row r="681" spans="1:21">
      <c r="A681">
        <v>611</v>
      </c>
      <c r="B681" s="1">
        <v>45912</v>
      </c>
      <c r="C681" t="s">
        <v>267</v>
      </c>
      <c r="D681" t="s">
        <v>622</v>
      </c>
      <c r="E681" t="s">
        <v>76</v>
      </c>
      <c r="F681" t="s">
        <v>113</v>
      </c>
      <c r="G681" t="s">
        <v>66</v>
      </c>
      <c r="H681" t="s">
        <v>51</v>
      </c>
      <c r="I681">
        <v>2</v>
      </c>
      <c r="J681">
        <v>934.53</v>
      </c>
      <c r="K681">
        <v>0.15</v>
      </c>
      <c r="L681">
        <v>1588.7</v>
      </c>
      <c r="M681">
        <v>1382.14</v>
      </c>
      <c r="N681">
        <v>206.56</v>
      </c>
      <c r="O681" t="s">
        <v>27</v>
      </c>
      <c r="P681" t="s">
        <v>28</v>
      </c>
      <c r="Q681" t="s">
        <v>40</v>
      </c>
      <c r="R681" t="s">
        <v>614</v>
      </c>
      <c r="S681">
        <v>9</v>
      </c>
      <c r="T681" t="s">
        <v>550</v>
      </c>
      <c r="U681">
        <v>0.13001825391829797</v>
      </c>
    </row>
    <row r="682" spans="1:21">
      <c r="A682">
        <v>589</v>
      </c>
      <c r="B682" s="1">
        <v>45912</v>
      </c>
      <c r="C682" t="s">
        <v>370</v>
      </c>
      <c r="D682" t="s">
        <v>431</v>
      </c>
      <c r="E682" t="s">
        <v>23</v>
      </c>
      <c r="F682" t="s">
        <v>43</v>
      </c>
      <c r="G682" t="s">
        <v>134</v>
      </c>
      <c r="H682" t="s">
        <v>26</v>
      </c>
      <c r="I682">
        <v>3</v>
      </c>
      <c r="J682">
        <v>40053.61</v>
      </c>
      <c r="K682">
        <v>0.15</v>
      </c>
      <c r="L682">
        <v>102136.71</v>
      </c>
      <c r="M682">
        <v>92607.37</v>
      </c>
      <c r="N682">
        <v>9529.34</v>
      </c>
      <c r="O682" t="s">
        <v>27</v>
      </c>
      <c r="P682" t="s">
        <v>28</v>
      </c>
      <c r="Q682" t="s">
        <v>29</v>
      </c>
      <c r="R682" t="s">
        <v>614</v>
      </c>
      <c r="S682">
        <v>9</v>
      </c>
      <c r="T682" t="s">
        <v>550</v>
      </c>
      <c r="U682">
        <v>9.3299852717010356E-2</v>
      </c>
    </row>
    <row r="683" spans="1:21">
      <c r="A683">
        <v>347</v>
      </c>
      <c r="B683" s="1">
        <v>45913</v>
      </c>
      <c r="C683" t="s">
        <v>267</v>
      </c>
      <c r="D683" t="s">
        <v>282</v>
      </c>
      <c r="E683" t="s">
        <v>76</v>
      </c>
      <c r="F683" t="s">
        <v>77</v>
      </c>
      <c r="G683" t="s">
        <v>134</v>
      </c>
      <c r="H683" t="s">
        <v>26</v>
      </c>
      <c r="I683">
        <v>1</v>
      </c>
      <c r="J683">
        <v>49260.24</v>
      </c>
      <c r="K683">
        <v>0</v>
      </c>
      <c r="L683">
        <v>49260.24</v>
      </c>
      <c r="M683">
        <v>37927.56</v>
      </c>
      <c r="N683">
        <v>11332.68</v>
      </c>
      <c r="O683" t="s">
        <v>38</v>
      </c>
      <c r="P683" t="s">
        <v>78</v>
      </c>
      <c r="Q683" t="s">
        <v>46</v>
      </c>
      <c r="R683" t="s">
        <v>614</v>
      </c>
      <c r="S683">
        <v>9</v>
      </c>
      <c r="T683" t="s">
        <v>550</v>
      </c>
      <c r="U683">
        <v>0.23005734442219528</v>
      </c>
    </row>
    <row r="684" spans="1:21">
      <c r="A684">
        <v>339</v>
      </c>
      <c r="B684" s="1">
        <v>45913</v>
      </c>
      <c r="C684" t="s">
        <v>311</v>
      </c>
      <c r="D684" t="s">
        <v>623</v>
      </c>
      <c r="E684" t="s">
        <v>54</v>
      </c>
      <c r="F684" t="s">
        <v>55</v>
      </c>
      <c r="G684" t="s">
        <v>66</v>
      </c>
      <c r="H684" t="s">
        <v>51</v>
      </c>
      <c r="I684">
        <v>1</v>
      </c>
      <c r="J684">
        <v>1809.86</v>
      </c>
      <c r="K684">
        <v>0.05</v>
      </c>
      <c r="L684">
        <v>1719.37</v>
      </c>
      <c r="M684">
        <v>1513.32</v>
      </c>
      <c r="N684">
        <v>206.05</v>
      </c>
      <c r="O684" t="s">
        <v>27</v>
      </c>
      <c r="P684" t="s">
        <v>45</v>
      </c>
      <c r="Q684" t="s">
        <v>29</v>
      </c>
      <c r="R684" t="s">
        <v>614</v>
      </c>
      <c r="S684">
        <v>9</v>
      </c>
      <c r="T684" t="s">
        <v>550</v>
      </c>
      <c r="U684">
        <v>0.11984040666057919</v>
      </c>
    </row>
    <row r="685" spans="1:21">
      <c r="A685">
        <v>191</v>
      </c>
      <c r="B685" s="1">
        <v>45913</v>
      </c>
      <c r="C685" t="s">
        <v>329</v>
      </c>
      <c r="D685" t="s">
        <v>539</v>
      </c>
      <c r="E685" t="s">
        <v>34</v>
      </c>
      <c r="F685" t="s">
        <v>86</v>
      </c>
      <c r="G685" t="s">
        <v>69</v>
      </c>
      <c r="H685" t="s">
        <v>70</v>
      </c>
      <c r="I685">
        <v>3</v>
      </c>
      <c r="J685">
        <v>3441.67</v>
      </c>
      <c r="K685">
        <v>0.1</v>
      </c>
      <c r="L685">
        <v>9292.51</v>
      </c>
      <c r="M685">
        <v>6546.09</v>
      </c>
      <c r="N685">
        <v>2746.42</v>
      </c>
      <c r="O685" t="s">
        <v>38</v>
      </c>
      <c r="P685" t="s">
        <v>28</v>
      </c>
      <c r="Q685" t="s">
        <v>40</v>
      </c>
      <c r="R685" t="s">
        <v>614</v>
      </c>
      <c r="S685">
        <v>9</v>
      </c>
      <c r="T685" t="s">
        <v>550</v>
      </c>
      <c r="U685">
        <v>0.29555200909119278</v>
      </c>
    </row>
    <row r="686" spans="1:21">
      <c r="A686">
        <v>357</v>
      </c>
      <c r="B686" s="1">
        <v>45913</v>
      </c>
      <c r="C686" t="s">
        <v>515</v>
      </c>
      <c r="D686" t="s">
        <v>453</v>
      </c>
      <c r="E686" t="s">
        <v>23</v>
      </c>
      <c r="F686" t="s">
        <v>43</v>
      </c>
      <c r="G686" t="s">
        <v>50</v>
      </c>
      <c r="H686" t="s">
        <v>51</v>
      </c>
      <c r="I686">
        <v>1</v>
      </c>
      <c r="J686">
        <v>1363.31</v>
      </c>
      <c r="K686">
        <v>0.15</v>
      </c>
      <c r="L686">
        <v>1158.81</v>
      </c>
      <c r="M686">
        <v>1128.8499999999999</v>
      </c>
      <c r="N686">
        <v>29.96</v>
      </c>
      <c r="O686" t="s">
        <v>27</v>
      </c>
      <c r="P686" t="s">
        <v>71</v>
      </c>
      <c r="Q686" t="s">
        <v>40</v>
      </c>
      <c r="R686" t="s">
        <v>614</v>
      </c>
      <c r="S686">
        <v>9</v>
      </c>
      <c r="T686" t="s">
        <v>550</v>
      </c>
      <c r="U686">
        <v>2.5854108956602034E-2</v>
      </c>
    </row>
    <row r="687" spans="1:21">
      <c r="A687">
        <v>173</v>
      </c>
      <c r="B687" s="1">
        <v>45913</v>
      </c>
      <c r="C687" t="s">
        <v>594</v>
      </c>
      <c r="D687" t="s">
        <v>605</v>
      </c>
      <c r="E687" t="s">
        <v>76</v>
      </c>
      <c r="F687" t="s">
        <v>81</v>
      </c>
      <c r="G687" t="s">
        <v>134</v>
      </c>
      <c r="H687" t="s">
        <v>26</v>
      </c>
      <c r="I687">
        <v>1</v>
      </c>
      <c r="J687">
        <v>23690.27</v>
      </c>
      <c r="K687">
        <v>0.02</v>
      </c>
      <c r="L687">
        <v>23216.46</v>
      </c>
      <c r="M687">
        <v>20584.57</v>
      </c>
      <c r="N687">
        <v>2631.89</v>
      </c>
      <c r="O687" t="s">
        <v>27</v>
      </c>
      <c r="P687" t="s">
        <v>28</v>
      </c>
      <c r="Q687" t="s">
        <v>29</v>
      </c>
      <c r="R687" t="s">
        <v>614</v>
      </c>
      <c r="S687">
        <v>9</v>
      </c>
      <c r="T687" t="s">
        <v>550</v>
      </c>
      <c r="U687">
        <v>0.11336310531407458</v>
      </c>
    </row>
    <row r="688" spans="1:21">
      <c r="A688">
        <v>614</v>
      </c>
      <c r="B688" s="1">
        <v>45913</v>
      </c>
      <c r="C688" t="s">
        <v>251</v>
      </c>
      <c r="D688" t="s">
        <v>310</v>
      </c>
      <c r="E688" t="s">
        <v>54</v>
      </c>
      <c r="F688" t="s">
        <v>108</v>
      </c>
      <c r="G688" t="s">
        <v>99</v>
      </c>
      <c r="H688" t="s">
        <v>26</v>
      </c>
      <c r="I688">
        <v>2</v>
      </c>
      <c r="J688">
        <v>17777.669999999998</v>
      </c>
      <c r="K688">
        <v>0.02</v>
      </c>
      <c r="L688">
        <v>34844.230000000003</v>
      </c>
      <c r="M688">
        <v>29958.93</v>
      </c>
      <c r="N688">
        <v>4885.3</v>
      </c>
      <c r="O688" t="s">
        <v>27</v>
      </c>
      <c r="P688" t="s">
        <v>78</v>
      </c>
      <c r="Q688" t="s">
        <v>29</v>
      </c>
      <c r="R688" t="s">
        <v>614</v>
      </c>
      <c r="S688">
        <v>9</v>
      </c>
      <c r="T688" t="s">
        <v>550</v>
      </c>
      <c r="U688">
        <v>0.14020398786255284</v>
      </c>
    </row>
    <row r="689" spans="1:21">
      <c r="A689">
        <v>892</v>
      </c>
      <c r="B689" s="1">
        <v>45914</v>
      </c>
      <c r="C689" t="s">
        <v>350</v>
      </c>
      <c r="D689" t="s">
        <v>375</v>
      </c>
      <c r="E689" t="s">
        <v>76</v>
      </c>
      <c r="F689" t="s">
        <v>77</v>
      </c>
      <c r="G689" t="s">
        <v>62</v>
      </c>
      <c r="H689" t="s">
        <v>63</v>
      </c>
      <c r="I689">
        <v>2</v>
      </c>
      <c r="J689">
        <v>161.03</v>
      </c>
      <c r="K689">
        <v>0.02</v>
      </c>
      <c r="L689">
        <v>315.62</v>
      </c>
      <c r="M689">
        <v>249.11</v>
      </c>
      <c r="N689">
        <v>66.510000000000005</v>
      </c>
      <c r="O689" t="s">
        <v>38</v>
      </c>
      <c r="P689" t="s">
        <v>28</v>
      </c>
      <c r="Q689" t="s">
        <v>29</v>
      </c>
      <c r="R689" t="s">
        <v>614</v>
      </c>
      <c r="S689">
        <v>9</v>
      </c>
      <c r="T689" t="s">
        <v>550</v>
      </c>
      <c r="U689">
        <v>0.21072809074203158</v>
      </c>
    </row>
    <row r="690" spans="1:21">
      <c r="A690">
        <v>232</v>
      </c>
      <c r="B690" s="1">
        <v>45914</v>
      </c>
      <c r="C690" t="s">
        <v>624</v>
      </c>
      <c r="D690" t="s">
        <v>411</v>
      </c>
      <c r="E690" t="s">
        <v>23</v>
      </c>
      <c r="F690" t="s">
        <v>24</v>
      </c>
      <c r="G690" t="s">
        <v>62</v>
      </c>
      <c r="H690" t="s">
        <v>63</v>
      </c>
      <c r="I690">
        <v>1</v>
      </c>
      <c r="J690">
        <v>384.17</v>
      </c>
      <c r="K690">
        <v>0.05</v>
      </c>
      <c r="L690">
        <v>364.96</v>
      </c>
      <c r="M690">
        <v>312.45999999999998</v>
      </c>
      <c r="N690">
        <v>52.5</v>
      </c>
      <c r="O690" t="s">
        <v>27</v>
      </c>
      <c r="P690" t="s">
        <v>28</v>
      </c>
      <c r="Q690" t="s">
        <v>40</v>
      </c>
      <c r="R690" t="s">
        <v>614</v>
      </c>
      <c r="S690">
        <v>9</v>
      </c>
      <c r="T690" t="s">
        <v>550</v>
      </c>
      <c r="U690">
        <v>0.14385138097325736</v>
      </c>
    </row>
    <row r="691" spans="1:21">
      <c r="A691">
        <v>640</v>
      </c>
      <c r="B691" s="1">
        <v>45914</v>
      </c>
      <c r="C691" t="s">
        <v>625</v>
      </c>
      <c r="D691" t="s">
        <v>236</v>
      </c>
      <c r="E691" t="s">
        <v>54</v>
      </c>
      <c r="F691" t="s">
        <v>127</v>
      </c>
      <c r="G691" t="s">
        <v>145</v>
      </c>
      <c r="H691" t="s">
        <v>70</v>
      </c>
      <c r="I691">
        <v>2</v>
      </c>
      <c r="J691">
        <v>831.4</v>
      </c>
      <c r="K691">
        <v>0.05</v>
      </c>
      <c r="L691">
        <v>1579.66</v>
      </c>
      <c r="M691">
        <v>1250.94</v>
      </c>
      <c r="N691">
        <v>328.72</v>
      </c>
      <c r="O691" t="s">
        <v>27</v>
      </c>
      <c r="P691" t="s">
        <v>71</v>
      </c>
      <c r="Q691" t="s">
        <v>29</v>
      </c>
      <c r="R691" t="s">
        <v>614</v>
      </c>
      <c r="S691">
        <v>9</v>
      </c>
      <c r="T691" t="s">
        <v>550</v>
      </c>
      <c r="U691">
        <v>0.20809541293696113</v>
      </c>
    </row>
    <row r="692" spans="1:21">
      <c r="A692">
        <v>957</v>
      </c>
      <c r="B692" s="1">
        <v>45915</v>
      </c>
      <c r="C692" t="s">
        <v>64</v>
      </c>
      <c r="D692" t="s">
        <v>96</v>
      </c>
      <c r="E692" t="s">
        <v>97</v>
      </c>
      <c r="F692" t="s">
        <v>98</v>
      </c>
      <c r="G692" t="s">
        <v>44</v>
      </c>
      <c r="H692" t="s">
        <v>26</v>
      </c>
      <c r="I692">
        <v>2</v>
      </c>
      <c r="J692">
        <v>57207.88</v>
      </c>
      <c r="K692">
        <v>0.15</v>
      </c>
      <c r="L692">
        <v>97253.4</v>
      </c>
      <c r="M692">
        <v>90018</v>
      </c>
      <c r="N692">
        <v>7235.4</v>
      </c>
      <c r="O692" t="s">
        <v>27</v>
      </c>
      <c r="P692" t="s">
        <v>71</v>
      </c>
      <c r="Q692" t="s">
        <v>46</v>
      </c>
      <c r="R692" t="s">
        <v>614</v>
      </c>
      <c r="S692">
        <v>9</v>
      </c>
      <c r="T692" t="s">
        <v>550</v>
      </c>
      <c r="U692">
        <v>7.4397398959830705E-2</v>
      </c>
    </row>
    <row r="693" spans="1:21">
      <c r="A693">
        <v>522</v>
      </c>
      <c r="B693" s="1">
        <v>45915</v>
      </c>
      <c r="C693" t="s">
        <v>162</v>
      </c>
      <c r="D693" t="s">
        <v>551</v>
      </c>
      <c r="E693" t="s">
        <v>54</v>
      </c>
      <c r="F693" t="s">
        <v>108</v>
      </c>
      <c r="G693" t="s">
        <v>50</v>
      </c>
      <c r="H693" t="s">
        <v>51</v>
      </c>
      <c r="I693">
        <v>1</v>
      </c>
      <c r="J693">
        <v>1192.1199999999999</v>
      </c>
      <c r="K693">
        <v>0.15</v>
      </c>
      <c r="L693">
        <v>1013.3</v>
      </c>
      <c r="M693">
        <v>1005.88</v>
      </c>
      <c r="N693">
        <v>7.42</v>
      </c>
      <c r="O693" t="s">
        <v>27</v>
      </c>
      <c r="P693" t="s">
        <v>78</v>
      </c>
      <c r="Q693" t="s">
        <v>46</v>
      </c>
      <c r="R693" t="s">
        <v>614</v>
      </c>
      <c r="S693">
        <v>9</v>
      </c>
      <c r="T693" t="s">
        <v>550</v>
      </c>
      <c r="U693">
        <v>7.3226092963584333E-3</v>
      </c>
    </row>
    <row r="694" spans="1:21">
      <c r="A694">
        <v>188</v>
      </c>
      <c r="B694" s="1">
        <v>45915</v>
      </c>
      <c r="C694" t="s">
        <v>426</v>
      </c>
      <c r="D694" t="s">
        <v>143</v>
      </c>
      <c r="E694" t="s">
        <v>34</v>
      </c>
      <c r="F694" t="s">
        <v>35</v>
      </c>
      <c r="G694" t="s">
        <v>134</v>
      </c>
      <c r="H694" t="s">
        <v>26</v>
      </c>
      <c r="I694">
        <v>2</v>
      </c>
      <c r="J694">
        <v>29921.97</v>
      </c>
      <c r="K694">
        <v>0.1</v>
      </c>
      <c r="L694">
        <v>53859.55</v>
      </c>
      <c r="M694">
        <v>44483.64</v>
      </c>
      <c r="N694">
        <v>9375.91</v>
      </c>
      <c r="O694" t="s">
        <v>27</v>
      </c>
      <c r="P694" t="s">
        <v>78</v>
      </c>
      <c r="Q694" t="s">
        <v>40</v>
      </c>
      <c r="R694" t="s">
        <v>614</v>
      </c>
      <c r="S694">
        <v>9</v>
      </c>
      <c r="T694" t="s">
        <v>550</v>
      </c>
      <c r="U694">
        <v>0.17408073405737701</v>
      </c>
    </row>
    <row r="695" spans="1:21">
      <c r="A695">
        <v>638</v>
      </c>
      <c r="B695" s="1">
        <v>45915</v>
      </c>
      <c r="C695" t="s">
        <v>504</v>
      </c>
      <c r="D695" t="s">
        <v>495</v>
      </c>
      <c r="E695" t="s">
        <v>97</v>
      </c>
      <c r="F695" t="s">
        <v>148</v>
      </c>
      <c r="G695" t="s">
        <v>105</v>
      </c>
      <c r="H695" t="s">
        <v>26</v>
      </c>
      <c r="I695">
        <v>1</v>
      </c>
      <c r="J695">
        <v>6990.45</v>
      </c>
      <c r="K695">
        <v>0.15</v>
      </c>
      <c r="L695">
        <v>5941.88</v>
      </c>
      <c r="M695">
        <v>6105.72</v>
      </c>
      <c r="N695">
        <v>-163.84</v>
      </c>
      <c r="O695" t="s">
        <v>38</v>
      </c>
      <c r="P695" t="s">
        <v>39</v>
      </c>
      <c r="Q695" t="s">
        <v>29</v>
      </c>
      <c r="R695" t="s">
        <v>614</v>
      </c>
      <c r="S695">
        <v>9</v>
      </c>
      <c r="T695" t="s">
        <v>550</v>
      </c>
      <c r="U695">
        <v>-2.7573764532437546E-2</v>
      </c>
    </row>
    <row r="696" spans="1:21">
      <c r="A696">
        <v>163</v>
      </c>
      <c r="B696" s="1">
        <v>45915</v>
      </c>
      <c r="C696" t="s">
        <v>296</v>
      </c>
      <c r="D696" t="s">
        <v>626</v>
      </c>
      <c r="E696" t="s">
        <v>23</v>
      </c>
      <c r="F696" t="s">
        <v>24</v>
      </c>
      <c r="G696" t="s">
        <v>25</v>
      </c>
      <c r="H696" t="s">
        <v>26</v>
      </c>
      <c r="I696">
        <v>2</v>
      </c>
      <c r="J696">
        <v>12254.5</v>
      </c>
      <c r="K696">
        <v>0</v>
      </c>
      <c r="L696">
        <v>24509</v>
      </c>
      <c r="M696">
        <v>18361.150000000001</v>
      </c>
      <c r="N696">
        <v>6147.85</v>
      </c>
      <c r="O696" t="s">
        <v>38</v>
      </c>
      <c r="P696" t="s">
        <v>45</v>
      </c>
      <c r="Q696" t="s">
        <v>46</v>
      </c>
      <c r="R696" t="s">
        <v>614</v>
      </c>
      <c r="S696">
        <v>9</v>
      </c>
      <c r="T696" t="s">
        <v>550</v>
      </c>
      <c r="U696">
        <v>0.25084050756864829</v>
      </c>
    </row>
    <row r="697" spans="1:21">
      <c r="A697">
        <v>778</v>
      </c>
      <c r="B697" s="1">
        <v>45915</v>
      </c>
      <c r="C697" t="s">
        <v>527</v>
      </c>
      <c r="D697" t="s">
        <v>204</v>
      </c>
      <c r="E697" t="s">
        <v>76</v>
      </c>
      <c r="F697" t="s">
        <v>113</v>
      </c>
      <c r="G697" t="s">
        <v>145</v>
      </c>
      <c r="H697" t="s">
        <v>70</v>
      </c>
      <c r="I697">
        <v>4</v>
      </c>
      <c r="J697">
        <v>1671.54</v>
      </c>
      <c r="K697">
        <v>0.1</v>
      </c>
      <c r="L697">
        <v>6017.54</v>
      </c>
      <c r="M697">
        <v>4985.97</v>
      </c>
      <c r="N697">
        <v>1031.57</v>
      </c>
      <c r="O697" t="s">
        <v>38</v>
      </c>
      <c r="P697" t="s">
        <v>39</v>
      </c>
      <c r="Q697" t="s">
        <v>29</v>
      </c>
      <c r="R697" t="s">
        <v>614</v>
      </c>
      <c r="S697">
        <v>9</v>
      </c>
      <c r="T697" t="s">
        <v>550</v>
      </c>
      <c r="U697">
        <v>0.17142719450140753</v>
      </c>
    </row>
    <row r="698" spans="1:21">
      <c r="A698">
        <v>521</v>
      </c>
      <c r="B698" s="1">
        <v>45916</v>
      </c>
      <c r="C698" t="s">
        <v>181</v>
      </c>
      <c r="D698" t="s">
        <v>586</v>
      </c>
      <c r="E698" t="s">
        <v>97</v>
      </c>
      <c r="F698" t="s">
        <v>148</v>
      </c>
      <c r="G698" t="s">
        <v>25</v>
      </c>
      <c r="H698" t="s">
        <v>26</v>
      </c>
      <c r="I698">
        <v>1</v>
      </c>
      <c r="J698">
        <v>14757.19</v>
      </c>
      <c r="K698">
        <v>0.15</v>
      </c>
      <c r="L698">
        <v>12543.61</v>
      </c>
      <c r="M698">
        <v>10367.24</v>
      </c>
      <c r="N698">
        <v>2176.37</v>
      </c>
      <c r="O698" t="s">
        <v>38</v>
      </c>
      <c r="P698" t="s">
        <v>45</v>
      </c>
      <c r="Q698" t="s">
        <v>40</v>
      </c>
      <c r="R698" t="s">
        <v>614</v>
      </c>
      <c r="S698">
        <v>9</v>
      </c>
      <c r="T698" t="s">
        <v>550</v>
      </c>
      <c r="U698">
        <v>0.17350427827395781</v>
      </c>
    </row>
    <row r="699" spans="1:21">
      <c r="A699">
        <v>578</v>
      </c>
      <c r="B699" s="1">
        <v>45916</v>
      </c>
      <c r="C699" t="s">
        <v>109</v>
      </c>
      <c r="D699" t="s">
        <v>310</v>
      </c>
      <c r="E699" t="s">
        <v>97</v>
      </c>
      <c r="F699" t="s">
        <v>98</v>
      </c>
      <c r="G699" t="s">
        <v>50</v>
      </c>
      <c r="H699" t="s">
        <v>51</v>
      </c>
      <c r="I699">
        <v>2</v>
      </c>
      <c r="J699">
        <v>1449.57</v>
      </c>
      <c r="K699">
        <v>0.15</v>
      </c>
      <c r="L699">
        <v>2464.27</v>
      </c>
      <c r="M699">
        <v>2234.5</v>
      </c>
      <c r="N699">
        <v>229.77</v>
      </c>
      <c r="O699" t="s">
        <v>27</v>
      </c>
      <c r="P699" t="s">
        <v>78</v>
      </c>
      <c r="Q699" t="s">
        <v>29</v>
      </c>
      <c r="R699" t="s">
        <v>614</v>
      </c>
      <c r="S699">
        <v>9</v>
      </c>
      <c r="T699" t="s">
        <v>550</v>
      </c>
      <c r="U699">
        <v>9.3240594577704561E-2</v>
      </c>
    </row>
    <row r="700" spans="1:21">
      <c r="A700">
        <v>197</v>
      </c>
      <c r="B700" s="1">
        <v>45917</v>
      </c>
      <c r="C700" t="s">
        <v>135</v>
      </c>
      <c r="D700" t="s">
        <v>627</v>
      </c>
      <c r="E700" t="s">
        <v>23</v>
      </c>
      <c r="F700" t="s">
        <v>24</v>
      </c>
      <c r="G700" t="s">
        <v>69</v>
      </c>
      <c r="H700" t="s">
        <v>70</v>
      </c>
      <c r="I700">
        <v>3</v>
      </c>
      <c r="J700">
        <v>2590.21</v>
      </c>
      <c r="K700">
        <v>0.15</v>
      </c>
      <c r="L700">
        <v>6605.04</v>
      </c>
      <c r="M700">
        <v>4876.53</v>
      </c>
      <c r="N700">
        <v>1728.51</v>
      </c>
      <c r="O700" t="s">
        <v>38</v>
      </c>
      <c r="P700" t="s">
        <v>78</v>
      </c>
      <c r="Q700" t="s">
        <v>29</v>
      </c>
      <c r="R700" t="s">
        <v>614</v>
      </c>
      <c r="S700">
        <v>9</v>
      </c>
      <c r="T700" t="s">
        <v>550</v>
      </c>
      <c r="U700">
        <v>0.26169561425820281</v>
      </c>
    </row>
    <row r="701" spans="1:21">
      <c r="A701">
        <v>793</v>
      </c>
      <c r="B701" s="1">
        <v>45917</v>
      </c>
      <c r="C701" t="s">
        <v>195</v>
      </c>
      <c r="D701" t="s">
        <v>147</v>
      </c>
      <c r="E701" t="s">
        <v>76</v>
      </c>
      <c r="F701" t="s">
        <v>113</v>
      </c>
      <c r="G701" t="s">
        <v>69</v>
      </c>
      <c r="H701" t="s">
        <v>70</v>
      </c>
      <c r="I701">
        <v>1</v>
      </c>
      <c r="J701">
        <v>2369.85</v>
      </c>
      <c r="K701">
        <v>0.15</v>
      </c>
      <c r="L701">
        <v>2014.37</v>
      </c>
      <c r="M701">
        <v>1604.44</v>
      </c>
      <c r="N701">
        <v>409.93</v>
      </c>
      <c r="O701" t="s">
        <v>38</v>
      </c>
      <c r="P701" t="s">
        <v>78</v>
      </c>
      <c r="Q701" t="s">
        <v>29</v>
      </c>
      <c r="R701" t="s">
        <v>614</v>
      </c>
      <c r="S701">
        <v>9</v>
      </c>
      <c r="T701" t="s">
        <v>550</v>
      </c>
      <c r="U701">
        <v>0.20350283215099513</v>
      </c>
    </row>
    <row r="702" spans="1:21">
      <c r="A702">
        <v>186</v>
      </c>
      <c r="B702" s="1">
        <v>45918</v>
      </c>
      <c r="C702" t="s">
        <v>89</v>
      </c>
      <c r="D702" t="s">
        <v>394</v>
      </c>
      <c r="E702" t="s">
        <v>54</v>
      </c>
      <c r="F702" t="s">
        <v>55</v>
      </c>
      <c r="G702" t="s">
        <v>99</v>
      </c>
      <c r="H702" t="s">
        <v>26</v>
      </c>
      <c r="I702">
        <v>4</v>
      </c>
      <c r="J702">
        <v>25267.72</v>
      </c>
      <c r="K702">
        <v>0.05</v>
      </c>
      <c r="L702">
        <v>96017.34</v>
      </c>
      <c r="M702">
        <v>67530.59</v>
      </c>
      <c r="N702">
        <v>28486.75</v>
      </c>
      <c r="O702" t="s">
        <v>27</v>
      </c>
      <c r="P702" t="s">
        <v>45</v>
      </c>
      <c r="Q702" t="s">
        <v>40</v>
      </c>
      <c r="R702" t="s">
        <v>614</v>
      </c>
      <c r="S702">
        <v>9</v>
      </c>
      <c r="T702" t="s">
        <v>550</v>
      </c>
      <c r="U702">
        <v>0.29668339072921623</v>
      </c>
    </row>
    <row r="703" spans="1:21">
      <c r="A703">
        <v>612</v>
      </c>
      <c r="B703" s="1">
        <v>45918</v>
      </c>
      <c r="C703" t="s">
        <v>384</v>
      </c>
      <c r="D703" t="s">
        <v>361</v>
      </c>
      <c r="E703" t="s">
        <v>97</v>
      </c>
      <c r="F703" t="s">
        <v>148</v>
      </c>
      <c r="G703" t="s">
        <v>145</v>
      </c>
      <c r="H703" t="s">
        <v>70</v>
      </c>
      <c r="I703">
        <v>1</v>
      </c>
      <c r="J703">
        <v>1049.8499999999999</v>
      </c>
      <c r="K703">
        <v>0</v>
      </c>
      <c r="L703">
        <v>1049.8499999999999</v>
      </c>
      <c r="M703">
        <v>797.36</v>
      </c>
      <c r="N703">
        <v>252.49</v>
      </c>
      <c r="O703" t="s">
        <v>38</v>
      </c>
      <c r="P703" t="s">
        <v>28</v>
      </c>
      <c r="Q703" t="s">
        <v>46</v>
      </c>
      <c r="R703" t="s">
        <v>614</v>
      </c>
      <c r="S703">
        <v>9</v>
      </c>
      <c r="T703" t="s">
        <v>550</v>
      </c>
      <c r="U703">
        <v>0.24050102395580325</v>
      </c>
    </row>
    <row r="704" spans="1:21">
      <c r="A704">
        <v>247</v>
      </c>
      <c r="B704" s="1">
        <v>45919</v>
      </c>
      <c r="C704" t="s">
        <v>450</v>
      </c>
      <c r="D704" t="s">
        <v>204</v>
      </c>
      <c r="E704" t="s">
        <v>23</v>
      </c>
      <c r="F704" t="s">
        <v>24</v>
      </c>
      <c r="G704" t="s">
        <v>145</v>
      </c>
      <c r="H704" t="s">
        <v>70</v>
      </c>
      <c r="I704">
        <v>1</v>
      </c>
      <c r="J704">
        <v>2073.58</v>
      </c>
      <c r="K704">
        <v>0.02</v>
      </c>
      <c r="L704">
        <v>2032.11</v>
      </c>
      <c r="M704">
        <v>1498.81</v>
      </c>
      <c r="N704">
        <v>533.29999999999995</v>
      </c>
      <c r="O704" t="s">
        <v>27</v>
      </c>
      <c r="P704" t="s">
        <v>45</v>
      </c>
      <c r="Q704" t="s">
        <v>29</v>
      </c>
      <c r="R704" t="s">
        <v>614</v>
      </c>
      <c r="S704">
        <v>9</v>
      </c>
      <c r="T704" t="s">
        <v>550</v>
      </c>
      <c r="U704">
        <v>0.26243658069691106</v>
      </c>
    </row>
    <row r="705" spans="1:21">
      <c r="A705">
        <v>119</v>
      </c>
      <c r="B705" s="1">
        <v>45919</v>
      </c>
      <c r="C705" t="s">
        <v>281</v>
      </c>
      <c r="D705" t="s">
        <v>465</v>
      </c>
      <c r="E705" t="s">
        <v>34</v>
      </c>
      <c r="F705" t="s">
        <v>35</v>
      </c>
      <c r="G705" t="s">
        <v>36</v>
      </c>
      <c r="H705" t="s">
        <v>37</v>
      </c>
      <c r="I705">
        <v>1</v>
      </c>
      <c r="J705">
        <v>11945.34</v>
      </c>
      <c r="K705">
        <v>0.15</v>
      </c>
      <c r="L705">
        <v>10153.540000000001</v>
      </c>
      <c r="M705">
        <v>8235.44</v>
      </c>
      <c r="N705">
        <v>1918.1</v>
      </c>
      <c r="O705" t="s">
        <v>27</v>
      </c>
      <c r="P705" t="s">
        <v>78</v>
      </c>
      <c r="Q705" t="s">
        <v>29</v>
      </c>
      <c r="R705" t="s">
        <v>614</v>
      </c>
      <c r="S705">
        <v>9</v>
      </c>
      <c r="T705" t="s">
        <v>550</v>
      </c>
      <c r="U705">
        <v>0.18890948378595049</v>
      </c>
    </row>
    <row r="706" spans="1:21">
      <c r="A706">
        <v>135</v>
      </c>
      <c r="B706" s="1">
        <v>45919</v>
      </c>
      <c r="C706" t="s">
        <v>515</v>
      </c>
      <c r="D706" t="s">
        <v>628</v>
      </c>
      <c r="E706" t="s">
        <v>54</v>
      </c>
      <c r="F706" t="s">
        <v>127</v>
      </c>
      <c r="G706" t="s">
        <v>36</v>
      </c>
      <c r="H706" t="s">
        <v>37</v>
      </c>
      <c r="I706">
        <v>1</v>
      </c>
      <c r="J706">
        <v>11637.16</v>
      </c>
      <c r="K706">
        <v>0.05</v>
      </c>
      <c r="L706">
        <v>11055.3</v>
      </c>
      <c r="M706">
        <v>7310.61</v>
      </c>
      <c r="N706">
        <v>3744.69</v>
      </c>
      <c r="O706" t="s">
        <v>27</v>
      </c>
      <c r="P706" t="s">
        <v>28</v>
      </c>
      <c r="Q706" t="s">
        <v>40</v>
      </c>
      <c r="R706" t="s">
        <v>614</v>
      </c>
      <c r="S706">
        <v>9</v>
      </c>
      <c r="T706" t="s">
        <v>550</v>
      </c>
      <c r="U706">
        <v>0.33872350818159619</v>
      </c>
    </row>
    <row r="707" spans="1:21">
      <c r="A707">
        <v>818</v>
      </c>
      <c r="B707" s="1">
        <v>45920</v>
      </c>
      <c r="C707" t="s">
        <v>151</v>
      </c>
      <c r="D707" t="s">
        <v>422</v>
      </c>
      <c r="E707" t="s">
        <v>97</v>
      </c>
      <c r="F707" t="s">
        <v>104</v>
      </c>
      <c r="G707" t="s">
        <v>69</v>
      </c>
      <c r="H707" t="s">
        <v>70</v>
      </c>
      <c r="I707">
        <v>1</v>
      </c>
      <c r="J707">
        <v>1067.22</v>
      </c>
      <c r="K707">
        <v>0.02</v>
      </c>
      <c r="L707">
        <v>1045.8800000000001</v>
      </c>
      <c r="M707">
        <v>809.7</v>
      </c>
      <c r="N707">
        <v>236.18</v>
      </c>
      <c r="O707" t="s">
        <v>27</v>
      </c>
      <c r="P707" t="s">
        <v>45</v>
      </c>
      <c r="Q707" t="s">
        <v>40</v>
      </c>
      <c r="R707" t="s">
        <v>614</v>
      </c>
      <c r="S707">
        <v>9</v>
      </c>
      <c r="T707" t="s">
        <v>550</v>
      </c>
      <c r="U707">
        <v>0.22581940566795425</v>
      </c>
    </row>
    <row r="708" spans="1:21">
      <c r="A708">
        <v>177</v>
      </c>
      <c r="B708" s="1">
        <v>45920</v>
      </c>
      <c r="C708" t="s">
        <v>583</v>
      </c>
      <c r="D708" t="s">
        <v>563</v>
      </c>
      <c r="E708" t="s">
        <v>97</v>
      </c>
      <c r="F708" t="s">
        <v>104</v>
      </c>
      <c r="G708" t="s">
        <v>105</v>
      </c>
      <c r="H708" t="s">
        <v>26</v>
      </c>
      <c r="I708">
        <v>2</v>
      </c>
      <c r="J708">
        <v>2360.52</v>
      </c>
      <c r="K708">
        <v>0</v>
      </c>
      <c r="L708">
        <v>4721.04</v>
      </c>
      <c r="M708">
        <v>3887.78</v>
      </c>
      <c r="N708">
        <v>833.26</v>
      </c>
      <c r="O708" t="s">
        <v>38</v>
      </c>
      <c r="P708" t="s">
        <v>78</v>
      </c>
      <c r="Q708" t="s">
        <v>46</v>
      </c>
      <c r="R708" t="s">
        <v>614</v>
      </c>
      <c r="S708">
        <v>9</v>
      </c>
      <c r="T708" t="s">
        <v>550</v>
      </c>
      <c r="U708">
        <v>0.17649924592886312</v>
      </c>
    </row>
    <row r="709" spans="1:21">
      <c r="A709">
        <v>981</v>
      </c>
      <c r="B709" s="1">
        <v>45920</v>
      </c>
      <c r="C709" t="s">
        <v>564</v>
      </c>
      <c r="D709" t="s">
        <v>629</v>
      </c>
      <c r="E709" t="s">
        <v>54</v>
      </c>
      <c r="F709" t="s">
        <v>55</v>
      </c>
      <c r="G709" t="s">
        <v>145</v>
      </c>
      <c r="H709" t="s">
        <v>70</v>
      </c>
      <c r="I709">
        <v>4</v>
      </c>
      <c r="J709">
        <v>775.8</v>
      </c>
      <c r="K709">
        <v>0.05</v>
      </c>
      <c r="L709">
        <v>2948.04</v>
      </c>
      <c r="M709">
        <v>2352.21</v>
      </c>
      <c r="N709">
        <v>595.83000000000004</v>
      </c>
      <c r="O709" t="s">
        <v>38</v>
      </c>
      <c r="P709" t="s">
        <v>28</v>
      </c>
      <c r="Q709" t="s">
        <v>40</v>
      </c>
      <c r="R709" t="s">
        <v>614</v>
      </c>
      <c r="S709">
        <v>9</v>
      </c>
      <c r="T709" t="s">
        <v>550</v>
      </c>
      <c r="U709">
        <v>0.20211055480929704</v>
      </c>
    </row>
    <row r="710" spans="1:21">
      <c r="A710">
        <v>502</v>
      </c>
      <c r="B710" s="1">
        <v>45920</v>
      </c>
      <c r="C710" t="s">
        <v>109</v>
      </c>
      <c r="D710" t="s">
        <v>337</v>
      </c>
      <c r="E710" t="s">
        <v>97</v>
      </c>
      <c r="F710" t="s">
        <v>104</v>
      </c>
      <c r="G710" t="s">
        <v>66</v>
      </c>
      <c r="H710" t="s">
        <v>51</v>
      </c>
      <c r="I710">
        <v>2</v>
      </c>
      <c r="J710">
        <v>1844.46</v>
      </c>
      <c r="K710">
        <v>0.1</v>
      </c>
      <c r="L710">
        <v>3320.03</v>
      </c>
      <c r="M710">
        <v>3189.65</v>
      </c>
      <c r="N710">
        <v>130.38</v>
      </c>
      <c r="O710" t="s">
        <v>27</v>
      </c>
      <c r="P710" t="s">
        <v>28</v>
      </c>
      <c r="Q710" t="s">
        <v>29</v>
      </c>
      <c r="R710" t="s">
        <v>614</v>
      </c>
      <c r="S710">
        <v>9</v>
      </c>
      <c r="T710" t="s">
        <v>550</v>
      </c>
      <c r="U710">
        <v>3.9270729481360102E-2</v>
      </c>
    </row>
    <row r="711" spans="1:21">
      <c r="A711">
        <v>92</v>
      </c>
      <c r="B711" s="1">
        <v>45921</v>
      </c>
      <c r="C711" t="s">
        <v>296</v>
      </c>
      <c r="D711" t="s">
        <v>464</v>
      </c>
      <c r="E711" t="s">
        <v>76</v>
      </c>
      <c r="F711" t="s">
        <v>77</v>
      </c>
      <c r="G711" t="s">
        <v>25</v>
      </c>
      <c r="H711" t="s">
        <v>26</v>
      </c>
      <c r="I711">
        <v>1</v>
      </c>
      <c r="J711">
        <v>18798.66</v>
      </c>
      <c r="K711">
        <v>0.05</v>
      </c>
      <c r="L711">
        <v>17858.73</v>
      </c>
      <c r="M711">
        <v>14845.56</v>
      </c>
      <c r="N711">
        <v>3013.17</v>
      </c>
      <c r="O711" t="s">
        <v>27</v>
      </c>
      <c r="P711" t="s">
        <v>39</v>
      </c>
      <c r="Q711" t="s">
        <v>29</v>
      </c>
      <c r="R711" t="s">
        <v>614</v>
      </c>
      <c r="S711">
        <v>9</v>
      </c>
      <c r="T711" t="s">
        <v>550</v>
      </c>
      <c r="U711">
        <v>0.16872252394207204</v>
      </c>
    </row>
    <row r="712" spans="1:21">
      <c r="A712">
        <v>801</v>
      </c>
      <c r="B712" s="1">
        <v>45921</v>
      </c>
      <c r="C712" t="s">
        <v>502</v>
      </c>
      <c r="D712" t="s">
        <v>579</v>
      </c>
      <c r="E712" t="s">
        <v>54</v>
      </c>
      <c r="F712" t="s">
        <v>108</v>
      </c>
      <c r="G712" t="s">
        <v>134</v>
      </c>
      <c r="H712" t="s">
        <v>26</v>
      </c>
      <c r="I712">
        <v>4</v>
      </c>
      <c r="J712">
        <v>30795.66</v>
      </c>
      <c r="K712">
        <v>0</v>
      </c>
      <c r="L712">
        <v>123182.64</v>
      </c>
      <c r="M712">
        <v>76643.92</v>
      </c>
      <c r="N712">
        <v>46538.720000000001</v>
      </c>
      <c r="O712" t="s">
        <v>38</v>
      </c>
      <c r="P712" t="s">
        <v>39</v>
      </c>
      <c r="Q712" t="s">
        <v>29</v>
      </c>
      <c r="R712" t="s">
        <v>614</v>
      </c>
      <c r="S712">
        <v>9</v>
      </c>
      <c r="T712" t="s">
        <v>550</v>
      </c>
      <c r="U712">
        <v>0.37780258646835302</v>
      </c>
    </row>
    <row r="713" spans="1:21">
      <c r="A713">
        <v>258</v>
      </c>
      <c r="B713" s="1">
        <v>45921</v>
      </c>
      <c r="C713" t="s">
        <v>315</v>
      </c>
      <c r="D713" t="s">
        <v>532</v>
      </c>
      <c r="E713" t="s">
        <v>97</v>
      </c>
      <c r="F713" t="s">
        <v>104</v>
      </c>
      <c r="G713" t="s">
        <v>36</v>
      </c>
      <c r="H713" t="s">
        <v>37</v>
      </c>
      <c r="I713">
        <v>3</v>
      </c>
      <c r="J713">
        <v>10342.94</v>
      </c>
      <c r="K713">
        <v>0.05</v>
      </c>
      <c r="L713">
        <v>29477.38</v>
      </c>
      <c r="M713">
        <v>27287.78</v>
      </c>
      <c r="N713">
        <v>2189.6</v>
      </c>
      <c r="O713" t="s">
        <v>27</v>
      </c>
      <c r="P713" t="s">
        <v>39</v>
      </c>
      <c r="Q713" t="s">
        <v>29</v>
      </c>
      <c r="R713" t="s">
        <v>614</v>
      </c>
      <c r="S713">
        <v>9</v>
      </c>
      <c r="T713" t="s">
        <v>550</v>
      </c>
      <c r="U713">
        <v>7.428068573258545E-2</v>
      </c>
    </row>
    <row r="714" spans="1:21">
      <c r="A714">
        <v>30</v>
      </c>
      <c r="B714" s="1">
        <v>45921</v>
      </c>
      <c r="C714" t="s">
        <v>199</v>
      </c>
      <c r="D714" t="s">
        <v>565</v>
      </c>
      <c r="E714" t="s">
        <v>34</v>
      </c>
      <c r="F714" t="s">
        <v>49</v>
      </c>
      <c r="G714" t="s">
        <v>145</v>
      </c>
      <c r="H714" t="s">
        <v>70</v>
      </c>
      <c r="I714">
        <v>1</v>
      </c>
      <c r="J714">
        <v>925.43</v>
      </c>
      <c r="K714">
        <v>0.05</v>
      </c>
      <c r="L714">
        <v>879.16</v>
      </c>
      <c r="M714">
        <v>604.34</v>
      </c>
      <c r="N714">
        <v>274.82</v>
      </c>
      <c r="O714" t="s">
        <v>27</v>
      </c>
      <c r="P714" t="s">
        <v>78</v>
      </c>
      <c r="Q714" t="s">
        <v>29</v>
      </c>
      <c r="R714" t="s">
        <v>614</v>
      </c>
      <c r="S714">
        <v>9</v>
      </c>
      <c r="T714" t="s">
        <v>550</v>
      </c>
      <c r="U714">
        <v>0.31259383957413894</v>
      </c>
    </row>
    <row r="715" spans="1:21">
      <c r="A715">
        <v>842</v>
      </c>
      <c r="B715" s="1">
        <v>45922</v>
      </c>
      <c r="C715" t="s">
        <v>323</v>
      </c>
      <c r="D715" t="s">
        <v>103</v>
      </c>
      <c r="E715" t="s">
        <v>23</v>
      </c>
      <c r="F715" t="s">
        <v>43</v>
      </c>
      <c r="G715" t="s">
        <v>44</v>
      </c>
      <c r="H715" t="s">
        <v>26</v>
      </c>
      <c r="I715">
        <v>1</v>
      </c>
      <c r="J715">
        <v>62961.74</v>
      </c>
      <c r="K715">
        <v>0.02</v>
      </c>
      <c r="L715">
        <v>61702.51</v>
      </c>
      <c r="M715">
        <v>44529.37</v>
      </c>
      <c r="N715">
        <v>17173.14</v>
      </c>
      <c r="O715" t="s">
        <v>38</v>
      </c>
      <c r="P715" t="s">
        <v>45</v>
      </c>
      <c r="Q715" t="s">
        <v>46</v>
      </c>
      <c r="R715" t="s">
        <v>614</v>
      </c>
      <c r="S715">
        <v>9</v>
      </c>
      <c r="T715" t="s">
        <v>550</v>
      </c>
      <c r="U715">
        <v>0.27832157881421676</v>
      </c>
    </row>
    <row r="716" spans="1:21">
      <c r="A716">
        <v>996</v>
      </c>
      <c r="B716" s="1">
        <v>45922</v>
      </c>
      <c r="C716" t="s">
        <v>102</v>
      </c>
      <c r="D716" t="s">
        <v>202</v>
      </c>
      <c r="E716" t="s">
        <v>97</v>
      </c>
      <c r="F716" t="s">
        <v>98</v>
      </c>
      <c r="G716" t="s">
        <v>25</v>
      </c>
      <c r="H716" t="s">
        <v>26</v>
      </c>
      <c r="I716">
        <v>2</v>
      </c>
      <c r="J716">
        <v>10045.68</v>
      </c>
      <c r="K716">
        <v>0.02</v>
      </c>
      <c r="L716">
        <v>19689.53</v>
      </c>
      <c r="M716">
        <v>12655.76</v>
      </c>
      <c r="N716">
        <v>7033.77</v>
      </c>
      <c r="O716" t="s">
        <v>27</v>
      </c>
      <c r="P716" t="s">
        <v>78</v>
      </c>
      <c r="Q716" t="s">
        <v>29</v>
      </c>
      <c r="R716" t="s">
        <v>614</v>
      </c>
      <c r="S716">
        <v>9</v>
      </c>
      <c r="T716" t="s">
        <v>550</v>
      </c>
      <c r="U716">
        <v>0.35723402234588642</v>
      </c>
    </row>
    <row r="717" spans="1:21">
      <c r="A717">
        <v>920</v>
      </c>
      <c r="B717" s="1">
        <v>45922</v>
      </c>
      <c r="C717" t="s">
        <v>307</v>
      </c>
      <c r="D717" t="s">
        <v>362</v>
      </c>
      <c r="E717" t="s">
        <v>97</v>
      </c>
      <c r="F717" t="s">
        <v>148</v>
      </c>
      <c r="G717" t="s">
        <v>36</v>
      </c>
      <c r="H717" t="s">
        <v>37</v>
      </c>
      <c r="I717">
        <v>1</v>
      </c>
      <c r="J717">
        <v>9156.84</v>
      </c>
      <c r="K717">
        <v>0.02</v>
      </c>
      <c r="L717">
        <v>8973.7000000000007</v>
      </c>
      <c r="M717">
        <v>6670.15</v>
      </c>
      <c r="N717">
        <v>2303.5500000000002</v>
      </c>
      <c r="O717" t="s">
        <v>27</v>
      </c>
      <c r="P717" t="s">
        <v>45</v>
      </c>
      <c r="Q717" t="s">
        <v>46</v>
      </c>
      <c r="R717" t="s">
        <v>614</v>
      </c>
      <c r="S717">
        <v>9</v>
      </c>
      <c r="T717" t="s">
        <v>550</v>
      </c>
      <c r="U717">
        <v>0.25670013483847243</v>
      </c>
    </row>
    <row r="718" spans="1:21">
      <c r="A718">
        <v>176</v>
      </c>
      <c r="B718" s="1">
        <v>45923</v>
      </c>
      <c r="C718" t="s">
        <v>270</v>
      </c>
      <c r="D718" t="s">
        <v>505</v>
      </c>
      <c r="E718" t="s">
        <v>76</v>
      </c>
      <c r="F718" t="s">
        <v>81</v>
      </c>
      <c r="G718" t="s">
        <v>134</v>
      </c>
      <c r="H718" t="s">
        <v>26</v>
      </c>
      <c r="I718">
        <v>1</v>
      </c>
      <c r="J718">
        <v>42057.440000000002</v>
      </c>
      <c r="K718">
        <v>0.05</v>
      </c>
      <c r="L718">
        <v>39954.57</v>
      </c>
      <c r="M718">
        <v>32247.74</v>
      </c>
      <c r="N718">
        <v>7706.83</v>
      </c>
      <c r="O718" t="s">
        <v>27</v>
      </c>
      <c r="P718" t="s">
        <v>71</v>
      </c>
      <c r="Q718" t="s">
        <v>46</v>
      </c>
      <c r="R718" t="s">
        <v>614</v>
      </c>
      <c r="S718">
        <v>9</v>
      </c>
      <c r="T718" t="s">
        <v>550</v>
      </c>
      <c r="U718">
        <v>0.19288982461831025</v>
      </c>
    </row>
    <row r="719" spans="1:21">
      <c r="A719">
        <v>822</v>
      </c>
      <c r="B719" s="1">
        <v>45923</v>
      </c>
      <c r="C719" t="s">
        <v>138</v>
      </c>
      <c r="D719" t="s">
        <v>255</v>
      </c>
      <c r="E719" t="s">
        <v>76</v>
      </c>
      <c r="F719" t="s">
        <v>81</v>
      </c>
      <c r="G719" t="s">
        <v>59</v>
      </c>
      <c r="H719" t="s">
        <v>37</v>
      </c>
      <c r="I719">
        <v>1</v>
      </c>
      <c r="J719">
        <v>8672.48</v>
      </c>
      <c r="K719">
        <v>0.02</v>
      </c>
      <c r="L719">
        <v>8499.0300000000007</v>
      </c>
      <c r="M719">
        <v>7023.91</v>
      </c>
      <c r="N719">
        <v>1475.12</v>
      </c>
      <c r="O719" t="s">
        <v>38</v>
      </c>
      <c r="P719" t="s">
        <v>28</v>
      </c>
      <c r="Q719" t="s">
        <v>46</v>
      </c>
      <c r="R719" t="s">
        <v>614</v>
      </c>
      <c r="S719">
        <v>9</v>
      </c>
      <c r="T719" t="s">
        <v>550</v>
      </c>
      <c r="U719">
        <v>0.17356333605129054</v>
      </c>
    </row>
    <row r="720" spans="1:21">
      <c r="A720">
        <v>100</v>
      </c>
      <c r="B720" s="1">
        <v>45924</v>
      </c>
      <c r="C720" t="s">
        <v>630</v>
      </c>
      <c r="D720" t="s">
        <v>85</v>
      </c>
      <c r="E720" t="s">
        <v>23</v>
      </c>
      <c r="F720" t="s">
        <v>58</v>
      </c>
      <c r="G720" t="s">
        <v>105</v>
      </c>
      <c r="H720" t="s">
        <v>26</v>
      </c>
      <c r="I720">
        <v>1</v>
      </c>
      <c r="J720">
        <v>1814.29</v>
      </c>
      <c r="K720">
        <v>0.02</v>
      </c>
      <c r="L720">
        <v>1778</v>
      </c>
      <c r="M720">
        <v>1157.05</v>
      </c>
      <c r="N720">
        <v>620.95000000000005</v>
      </c>
      <c r="O720" t="s">
        <v>27</v>
      </c>
      <c r="P720" t="s">
        <v>78</v>
      </c>
      <c r="Q720" t="s">
        <v>29</v>
      </c>
      <c r="R720" t="s">
        <v>614</v>
      </c>
      <c r="S720">
        <v>9</v>
      </c>
      <c r="T720" t="s">
        <v>550</v>
      </c>
      <c r="U720">
        <v>0.34924071991001127</v>
      </c>
    </row>
    <row r="721" spans="1:21">
      <c r="A721">
        <v>609</v>
      </c>
      <c r="B721" s="1">
        <v>45924</v>
      </c>
      <c r="C721" t="s">
        <v>178</v>
      </c>
      <c r="D721" t="s">
        <v>595</v>
      </c>
      <c r="E721" t="s">
        <v>54</v>
      </c>
      <c r="F721" t="s">
        <v>55</v>
      </c>
      <c r="G721" t="s">
        <v>62</v>
      </c>
      <c r="H721" t="s">
        <v>63</v>
      </c>
      <c r="I721">
        <v>3</v>
      </c>
      <c r="J721">
        <v>149.47</v>
      </c>
      <c r="K721">
        <v>0.15</v>
      </c>
      <c r="L721">
        <v>381.15</v>
      </c>
      <c r="M721">
        <v>311.73</v>
      </c>
      <c r="N721">
        <v>69.42</v>
      </c>
      <c r="O721" t="s">
        <v>38</v>
      </c>
      <c r="P721" t="s">
        <v>28</v>
      </c>
      <c r="Q721" t="s">
        <v>40</v>
      </c>
      <c r="R721" t="s">
        <v>614</v>
      </c>
      <c r="S721">
        <v>9</v>
      </c>
      <c r="T721" t="s">
        <v>550</v>
      </c>
      <c r="U721">
        <v>0.18213301849665486</v>
      </c>
    </row>
    <row r="722" spans="1:21">
      <c r="A722">
        <v>674</v>
      </c>
      <c r="B722" s="1">
        <v>45924</v>
      </c>
      <c r="C722" t="s">
        <v>496</v>
      </c>
      <c r="D722" t="s">
        <v>437</v>
      </c>
      <c r="E722" t="s">
        <v>23</v>
      </c>
      <c r="F722" t="s">
        <v>24</v>
      </c>
      <c r="G722" t="s">
        <v>44</v>
      </c>
      <c r="H722" t="s">
        <v>26</v>
      </c>
      <c r="I722">
        <v>2</v>
      </c>
      <c r="J722">
        <v>71367.210000000006</v>
      </c>
      <c r="K722">
        <v>0.02</v>
      </c>
      <c r="L722">
        <v>139879.73000000001</v>
      </c>
      <c r="M722">
        <v>118474.73</v>
      </c>
      <c r="N722">
        <v>21405</v>
      </c>
      <c r="O722" t="s">
        <v>27</v>
      </c>
      <c r="P722" t="s">
        <v>39</v>
      </c>
      <c r="Q722" t="s">
        <v>46</v>
      </c>
      <c r="R722" t="s">
        <v>614</v>
      </c>
      <c r="S722">
        <v>9</v>
      </c>
      <c r="T722" t="s">
        <v>550</v>
      </c>
      <c r="U722">
        <v>0.15302431596057556</v>
      </c>
    </row>
    <row r="723" spans="1:21">
      <c r="A723">
        <v>758</v>
      </c>
      <c r="B723" s="1">
        <v>45924</v>
      </c>
      <c r="C723" t="s">
        <v>289</v>
      </c>
      <c r="D723" t="s">
        <v>631</v>
      </c>
      <c r="E723" t="s">
        <v>23</v>
      </c>
      <c r="F723" t="s">
        <v>43</v>
      </c>
      <c r="G723" t="s">
        <v>69</v>
      </c>
      <c r="H723" t="s">
        <v>70</v>
      </c>
      <c r="I723">
        <v>1</v>
      </c>
      <c r="J723">
        <v>3210.05</v>
      </c>
      <c r="K723">
        <v>0.05</v>
      </c>
      <c r="L723">
        <v>3049.55</v>
      </c>
      <c r="M723">
        <v>2555.2399999999998</v>
      </c>
      <c r="N723">
        <v>494.31</v>
      </c>
      <c r="O723" t="s">
        <v>27</v>
      </c>
      <c r="P723" t="s">
        <v>39</v>
      </c>
      <c r="Q723" t="s">
        <v>29</v>
      </c>
      <c r="R723" t="s">
        <v>614</v>
      </c>
      <c r="S723">
        <v>9</v>
      </c>
      <c r="T723" t="s">
        <v>550</v>
      </c>
      <c r="U723">
        <v>0.16209276778541096</v>
      </c>
    </row>
    <row r="724" spans="1:21">
      <c r="A724">
        <v>428</v>
      </c>
      <c r="B724" s="1">
        <v>45924</v>
      </c>
      <c r="C724" t="s">
        <v>170</v>
      </c>
      <c r="D724" t="s">
        <v>255</v>
      </c>
      <c r="E724" t="s">
        <v>23</v>
      </c>
      <c r="F724" t="s">
        <v>58</v>
      </c>
      <c r="G724" t="s">
        <v>62</v>
      </c>
      <c r="H724" t="s">
        <v>63</v>
      </c>
      <c r="I724">
        <v>1</v>
      </c>
      <c r="J724">
        <v>326.88</v>
      </c>
      <c r="K724">
        <v>0.05</v>
      </c>
      <c r="L724">
        <v>310.54000000000002</v>
      </c>
      <c r="M724">
        <v>252.43</v>
      </c>
      <c r="N724">
        <v>58.11</v>
      </c>
      <c r="O724" t="s">
        <v>38</v>
      </c>
      <c r="P724" t="s">
        <v>39</v>
      </c>
      <c r="Q724" t="s">
        <v>40</v>
      </c>
      <c r="R724" t="s">
        <v>614</v>
      </c>
      <c r="S724">
        <v>9</v>
      </c>
      <c r="T724" t="s">
        <v>550</v>
      </c>
      <c r="U724">
        <v>0.18712565208990789</v>
      </c>
    </row>
    <row r="725" spans="1:21">
      <c r="A725">
        <v>141</v>
      </c>
      <c r="B725" s="1">
        <v>45925</v>
      </c>
      <c r="C725" t="s">
        <v>233</v>
      </c>
      <c r="D725" t="s">
        <v>425</v>
      </c>
      <c r="E725" t="s">
        <v>34</v>
      </c>
      <c r="F725" t="s">
        <v>49</v>
      </c>
      <c r="G725" t="s">
        <v>59</v>
      </c>
      <c r="H725" t="s">
        <v>37</v>
      </c>
      <c r="I725">
        <v>1</v>
      </c>
      <c r="J725">
        <v>8598.76</v>
      </c>
      <c r="K725">
        <v>0.02</v>
      </c>
      <c r="L725">
        <v>8426.7800000000007</v>
      </c>
      <c r="M725">
        <v>7370.98</v>
      </c>
      <c r="N725">
        <v>1055.8</v>
      </c>
      <c r="O725" t="s">
        <v>27</v>
      </c>
      <c r="P725" t="s">
        <v>71</v>
      </c>
      <c r="Q725" t="s">
        <v>46</v>
      </c>
      <c r="R725" t="s">
        <v>614</v>
      </c>
      <c r="S725">
        <v>9</v>
      </c>
      <c r="T725" t="s">
        <v>550</v>
      </c>
      <c r="U725">
        <v>0.12529103643384543</v>
      </c>
    </row>
    <row r="726" spans="1:21">
      <c r="A726">
        <v>708</v>
      </c>
      <c r="B726" s="1">
        <v>45925</v>
      </c>
      <c r="C726" t="s">
        <v>285</v>
      </c>
      <c r="D726" t="s">
        <v>620</v>
      </c>
      <c r="E726" t="s">
        <v>23</v>
      </c>
      <c r="F726" t="s">
        <v>43</v>
      </c>
      <c r="G726" t="s">
        <v>134</v>
      </c>
      <c r="H726" t="s">
        <v>26</v>
      </c>
      <c r="I726">
        <v>1</v>
      </c>
      <c r="J726">
        <v>26988.98</v>
      </c>
      <c r="K726">
        <v>0.1</v>
      </c>
      <c r="L726">
        <v>24290.080000000002</v>
      </c>
      <c r="M726">
        <v>16782.96</v>
      </c>
      <c r="N726">
        <v>7507.12</v>
      </c>
      <c r="O726" t="s">
        <v>27</v>
      </c>
      <c r="P726" t="s">
        <v>39</v>
      </c>
      <c r="Q726" t="s">
        <v>29</v>
      </c>
      <c r="R726" t="s">
        <v>614</v>
      </c>
      <c r="S726">
        <v>9</v>
      </c>
      <c r="T726" t="s">
        <v>550</v>
      </c>
      <c r="U726">
        <v>0.30906114759605563</v>
      </c>
    </row>
    <row r="727" spans="1:21">
      <c r="A727">
        <v>105</v>
      </c>
      <c r="B727" s="1">
        <v>45925</v>
      </c>
      <c r="C727" t="s">
        <v>203</v>
      </c>
      <c r="D727" t="s">
        <v>159</v>
      </c>
      <c r="E727" t="s">
        <v>76</v>
      </c>
      <c r="F727" t="s">
        <v>113</v>
      </c>
      <c r="G727" t="s">
        <v>59</v>
      </c>
      <c r="H727" t="s">
        <v>37</v>
      </c>
      <c r="I727">
        <v>3</v>
      </c>
      <c r="J727">
        <v>14413.34</v>
      </c>
      <c r="K727">
        <v>0</v>
      </c>
      <c r="L727">
        <v>43240.02</v>
      </c>
      <c r="M727">
        <v>36964.79</v>
      </c>
      <c r="N727">
        <v>6275.23</v>
      </c>
      <c r="O727" t="s">
        <v>27</v>
      </c>
      <c r="P727" t="s">
        <v>28</v>
      </c>
      <c r="Q727" t="s">
        <v>29</v>
      </c>
      <c r="R727" t="s">
        <v>614</v>
      </c>
      <c r="S727">
        <v>9</v>
      </c>
      <c r="T727" t="s">
        <v>550</v>
      </c>
      <c r="U727">
        <v>0.14512551104277935</v>
      </c>
    </row>
    <row r="728" spans="1:21">
      <c r="A728">
        <v>770</v>
      </c>
      <c r="B728" s="1">
        <v>45927</v>
      </c>
      <c r="C728" t="s">
        <v>632</v>
      </c>
      <c r="D728" t="s">
        <v>409</v>
      </c>
      <c r="E728" t="s">
        <v>97</v>
      </c>
      <c r="F728" t="s">
        <v>148</v>
      </c>
      <c r="G728" t="s">
        <v>62</v>
      </c>
      <c r="H728" t="s">
        <v>63</v>
      </c>
      <c r="I728">
        <v>1</v>
      </c>
      <c r="J728">
        <v>92.06</v>
      </c>
      <c r="K728">
        <v>0.1</v>
      </c>
      <c r="L728">
        <v>82.85</v>
      </c>
      <c r="M728">
        <v>70.06</v>
      </c>
      <c r="N728">
        <v>12.79</v>
      </c>
      <c r="O728" t="s">
        <v>27</v>
      </c>
      <c r="P728" t="s">
        <v>78</v>
      </c>
      <c r="Q728" t="s">
        <v>46</v>
      </c>
      <c r="R728" t="s">
        <v>614</v>
      </c>
      <c r="S728">
        <v>9</v>
      </c>
      <c r="T728" t="s">
        <v>550</v>
      </c>
      <c r="U728">
        <v>0.15437537718768859</v>
      </c>
    </row>
    <row r="729" spans="1:21">
      <c r="A729">
        <v>144</v>
      </c>
      <c r="B729" s="1">
        <v>45927</v>
      </c>
      <c r="C729" t="s">
        <v>583</v>
      </c>
      <c r="D729" t="s">
        <v>216</v>
      </c>
      <c r="E729" t="s">
        <v>97</v>
      </c>
      <c r="F729" t="s">
        <v>98</v>
      </c>
      <c r="G729" t="s">
        <v>59</v>
      </c>
      <c r="H729" t="s">
        <v>37</v>
      </c>
      <c r="I729">
        <v>1</v>
      </c>
      <c r="J729">
        <v>10899.26</v>
      </c>
      <c r="K729">
        <v>0.02</v>
      </c>
      <c r="L729">
        <v>10681.27</v>
      </c>
      <c r="M729">
        <v>6965.82</v>
      </c>
      <c r="N729">
        <v>3715.45</v>
      </c>
      <c r="O729" t="s">
        <v>27</v>
      </c>
      <c r="P729" t="s">
        <v>78</v>
      </c>
      <c r="Q729" t="s">
        <v>40</v>
      </c>
      <c r="R729" t="s">
        <v>614</v>
      </c>
      <c r="S729">
        <v>9</v>
      </c>
      <c r="T729" t="s">
        <v>550</v>
      </c>
      <c r="U729">
        <v>0.34784721292505477</v>
      </c>
    </row>
    <row r="730" spans="1:21">
      <c r="A730">
        <v>719</v>
      </c>
      <c r="B730" s="1">
        <v>45927</v>
      </c>
      <c r="C730" t="s">
        <v>564</v>
      </c>
      <c r="D730" t="s">
        <v>448</v>
      </c>
      <c r="E730" t="s">
        <v>34</v>
      </c>
      <c r="F730" t="s">
        <v>49</v>
      </c>
      <c r="G730" t="s">
        <v>44</v>
      </c>
      <c r="H730" t="s">
        <v>26</v>
      </c>
      <c r="I730">
        <v>1</v>
      </c>
      <c r="J730">
        <v>63079.53</v>
      </c>
      <c r="K730">
        <v>0.02</v>
      </c>
      <c r="L730">
        <v>61817.94</v>
      </c>
      <c r="M730">
        <v>43762.93</v>
      </c>
      <c r="N730">
        <v>18055.009999999998</v>
      </c>
      <c r="O730" t="s">
        <v>38</v>
      </c>
      <c r="P730" t="s">
        <v>39</v>
      </c>
      <c r="Q730" t="s">
        <v>40</v>
      </c>
      <c r="R730" t="s">
        <v>614</v>
      </c>
      <c r="S730">
        <v>9</v>
      </c>
      <c r="T730" t="s">
        <v>550</v>
      </c>
      <c r="U730">
        <v>0.29206748073455696</v>
      </c>
    </row>
    <row r="731" spans="1:21">
      <c r="A731">
        <v>6</v>
      </c>
      <c r="B731" s="1">
        <v>45927</v>
      </c>
      <c r="C731" t="s">
        <v>138</v>
      </c>
      <c r="D731" t="s">
        <v>179</v>
      </c>
      <c r="E731" t="s">
        <v>34</v>
      </c>
      <c r="F731" t="s">
        <v>49</v>
      </c>
      <c r="G731" t="s">
        <v>134</v>
      </c>
      <c r="H731" t="s">
        <v>26</v>
      </c>
      <c r="I731">
        <v>1</v>
      </c>
      <c r="J731">
        <v>46679.91</v>
      </c>
      <c r="K731">
        <v>0.02</v>
      </c>
      <c r="L731">
        <v>45746.31</v>
      </c>
      <c r="M731">
        <v>39801.86</v>
      </c>
      <c r="N731">
        <v>5944.45</v>
      </c>
      <c r="O731" t="s">
        <v>27</v>
      </c>
      <c r="P731" t="s">
        <v>28</v>
      </c>
      <c r="Q731" t="s">
        <v>40</v>
      </c>
      <c r="R731" t="s">
        <v>614</v>
      </c>
      <c r="S731">
        <v>9</v>
      </c>
      <c r="T731" t="s">
        <v>550</v>
      </c>
      <c r="U731">
        <v>0.12994381404751554</v>
      </c>
    </row>
    <row r="732" spans="1:21">
      <c r="A732">
        <v>915</v>
      </c>
      <c r="B732" s="1">
        <v>45929</v>
      </c>
      <c r="C732" t="s">
        <v>193</v>
      </c>
      <c r="D732" t="s">
        <v>124</v>
      </c>
      <c r="E732" t="s">
        <v>97</v>
      </c>
      <c r="F732" t="s">
        <v>104</v>
      </c>
      <c r="G732" t="s">
        <v>44</v>
      </c>
      <c r="H732" t="s">
        <v>26</v>
      </c>
      <c r="I732">
        <v>2</v>
      </c>
      <c r="J732">
        <v>67846.39</v>
      </c>
      <c r="K732">
        <v>0.1</v>
      </c>
      <c r="L732">
        <v>122123.5</v>
      </c>
      <c r="M732">
        <v>100942.9</v>
      </c>
      <c r="N732">
        <v>21180.6</v>
      </c>
      <c r="O732" t="s">
        <v>27</v>
      </c>
      <c r="P732" t="s">
        <v>71</v>
      </c>
      <c r="Q732" t="s">
        <v>40</v>
      </c>
      <c r="R732" t="s">
        <v>614</v>
      </c>
      <c r="S732">
        <v>9</v>
      </c>
      <c r="T732" t="s">
        <v>550</v>
      </c>
      <c r="U732">
        <v>0.17343590709404821</v>
      </c>
    </row>
    <row r="733" spans="1:21">
      <c r="A733">
        <v>908</v>
      </c>
      <c r="B733" s="1">
        <v>45929</v>
      </c>
      <c r="C733" t="s">
        <v>368</v>
      </c>
      <c r="D733" t="s">
        <v>333</v>
      </c>
      <c r="E733" t="s">
        <v>76</v>
      </c>
      <c r="F733" t="s">
        <v>81</v>
      </c>
      <c r="G733" t="s">
        <v>62</v>
      </c>
      <c r="H733" t="s">
        <v>63</v>
      </c>
      <c r="I733">
        <v>4</v>
      </c>
      <c r="J733">
        <v>248.66</v>
      </c>
      <c r="K733">
        <v>0.05</v>
      </c>
      <c r="L733">
        <v>944.91</v>
      </c>
      <c r="M733">
        <v>775.78</v>
      </c>
      <c r="N733">
        <v>169.13</v>
      </c>
      <c r="O733" t="s">
        <v>38</v>
      </c>
      <c r="P733" t="s">
        <v>28</v>
      </c>
      <c r="Q733" t="s">
        <v>46</v>
      </c>
      <c r="R733" t="s">
        <v>614</v>
      </c>
      <c r="S733">
        <v>9</v>
      </c>
      <c r="T733" t="s">
        <v>550</v>
      </c>
      <c r="U733">
        <v>0.1789905916965637</v>
      </c>
    </row>
    <row r="734" spans="1:21">
      <c r="A734">
        <v>411</v>
      </c>
      <c r="B734" s="1">
        <v>45930</v>
      </c>
      <c r="C734" t="s">
        <v>93</v>
      </c>
      <c r="D734" t="s">
        <v>620</v>
      </c>
      <c r="E734" t="s">
        <v>76</v>
      </c>
      <c r="F734" t="s">
        <v>77</v>
      </c>
      <c r="G734" t="s">
        <v>50</v>
      </c>
      <c r="H734" t="s">
        <v>51</v>
      </c>
      <c r="I734">
        <v>1</v>
      </c>
      <c r="J734">
        <v>793.43</v>
      </c>
      <c r="K734">
        <v>0.02</v>
      </c>
      <c r="L734">
        <v>777.56</v>
      </c>
      <c r="M734">
        <v>560.05999999999995</v>
      </c>
      <c r="N734">
        <v>217.5</v>
      </c>
      <c r="O734" t="s">
        <v>27</v>
      </c>
      <c r="P734" t="s">
        <v>71</v>
      </c>
      <c r="Q734" t="s">
        <v>46</v>
      </c>
      <c r="R734" t="s">
        <v>614</v>
      </c>
      <c r="S734">
        <v>9</v>
      </c>
      <c r="T734" t="s">
        <v>550</v>
      </c>
      <c r="U734">
        <v>0.27972117907299759</v>
      </c>
    </row>
    <row r="735" spans="1:21">
      <c r="A735">
        <v>755</v>
      </c>
      <c r="B735" s="1">
        <v>45930</v>
      </c>
      <c r="C735" t="s">
        <v>476</v>
      </c>
      <c r="D735" t="s">
        <v>245</v>
      </c>
      <c r="E735" t="s">
        <v>76</v>
      </c>
      <c r="F735" t="s">
        <v>77</v>
      </c>
      <c r="G735" t="s">
        <v>62</v>
      </c>
      <c r="H735" t="s">
        <v>63</v>
      </c>
      <c r="I735">
        <v>1</v>
      </c>
      <c r="J735">
        <v>213.05</v>
      </c>
      <c r="K735">
        <v>0.15</v>
      </c>
      <c r="L735">
        <v>181.09</v>
      </c>
      <c r="M735">
        <v>152.46</v>
      </c>
      <c r="N735">
        <v>28.63</v>
      </c>
      <c r="O735" t="s">
        <v>38</v>
      </c>
      <c r="P735" t="s">
        <v>45</v>
      </c>
      <c r="Q735" t="s">
        <v>46</v>
      </c>
      <c r="R735" t="s">
        <v>614</v>
      </c>
      <c r="S735">
        <v>9</v>
      </c>
      <c r="T735" t="s">
        <v>550</v>
      </c>
      <c r="U735">
        <v>0.15809818322381136</v>
      </c>
    </row>
    <row r="736" spans="1:21">
      <c r="A736">
        <v>27</v>
      </c>
      <c r="B736" s="1">
        <v>45930</v>
      </c>
      <c r="C736" t="s">
        <v>432</v>
      </c>
      <c r="D736" t="s">
        <v>416</v>
      </c>
      <c r="E736" t="s">
        <v>34</v>
      </c>
      <c r="F736" t="s">
        <v>35</v>
      </c>
      <c r="G736" t="s">
        <v>145</v>
      </c>
      <c r="H736" t="s">
        <v>70</v>
      </c>
      <c r="I736">
        <v>4</v>
      </c>
      <c r="J736">
        <v>1109.7</v>
      </c>
      <c r="K736">
        <v>0.05</v>
      </c>
      <c r="L736">
        <v>4216.8599999999997</v>
      </c>
      <c r="M736">
        <v>3092.85</v>
      </c>
      <c r="N736">
        <v>1124.01</v>
      </c>
      <c r="O736" t="s">
        <v>27</v>
      </c>
      <c r="P736" t="s">
        <v>71</v>
      </c>
      <c r="Q736" t="s">
        <v>40</v>
      </c>
      <c r="R736" t="s">
        <v>614</v>
      </c>
      <c r="S736">
        <v>9</v>
      </c>
      <c r="T736" t="s">
        <v>550</v>
      </c>
      <c r="U736">
        <v>0.2665514150339352</v>
      </c>
    </row>
    <row r="737" spans="1:21">
      <c r="A737">
        <v>478</v>
      </c>
      <c r="B737" s="1">
        <v>45930</v>
      </c>
      <c r="C737" t="s">
        <v>270</v>
      </c>
      <c r="D737" t="s">
        <v>243</v>
      </c>
      <c r="E737" t="s">
        <v>76</v>
      </c>
      <c r="F737" t="s">
        <v>113</v>
      </c>
      <c r="G737" t="s">
        <v>145</v>
      </c>
      <c r="H737" t="s">
        <v>70</v>
      </c>
      <c r="I737">
        <v>1</v>
      </c>
      <c r="J737">
        <v>832.71</v>
      </c>
      <c r="K737">
        <v>0.02</v>
      </c>
      <c r="L737">
        <v>816.06</v>
      </c>
      <c r="M737">
        <v>662.11</v>
      </c>
      <c r="N737">
        <v>153.94999999999999</v>
      </c>
      <c r="O737" t="s">
        <v>38</v>
      </c>
      <c r="P737" t="s">
        <v>45</v>
      </c>
      <c r="Q737" t="s">
        <v>40</v>
      </c>
      <c r="R737" t="s">
        <v>614</v>
      </c>
      <c r="S737">
        <v>9</v>
      </c>
      <c r="T737" t="s">
        <v>550</v>
      </c>
      <c r="U737">
        <v>0.18865034433742617</v>
      </c>
    </row>
    <row r="738" spans="1:21">
      <c r="A738">
        <v>285</v>
      </c>
      <c r="B738" s="1">
        <v>45931</v>
      </c>
      <c r="C738" t="s">
        <v>279</v>
      </c>
      <c r="D738" t="s">
        <v>136</v>
      </c>
      <c r="E738" t="s">
        <v>54</v>
      </c>
      <c r="F738" t="s">
        <v>55</v>
      </c>
      <c r="G738" t="s">
        <v>66</v>
      </c>
      <c r="H738" t="s">
        <v>51</v>
      </c>
      <c r="I738">
        <v>2</v>
      </c>
      <c r="J738">
        <v>2258.6</v>
      </c>
      <c r="K738">
        <v>0.05</v>
      </c>
      <c r="L738">
        <v>4291.34</v>
      </c>
      <c r="M738">
        <v>3339.7</v>
      </c>
      <c r="N738">
        <v>951.64</v>
      </c>
      <c r="O738" t="s">
        <v>27</v>
      </c>
      <c r="P738" t="s">
        <v>78</v>
      </c>
      <c r="Q738" t="s">
        <v>46</v>
      </c>
      <c r="R738" t="s">
        <v>633</v>
      </c>
      <c r="S738">
        <v>10</v>
      </c>
      <c r="T738" t="s">
        <v>634</v>
      </c>
      <c r="U738">
        <v>0.22175823868535235</v>
      </c>
    </row>
    <row r="739" spans="1:21">
      <c r="A739">
        <v>659</v>
      </c>
      <c r="B739" s="1">
        <v>45932</v>
      </c>
      <c r="C739" t="s">
        <v>185</v>
      </c>
      <c r="D739" t="s">
        <v>143</v>
      </c>
      <c r="E739" t="s">
        <v>23</v>
      </c>
      <c r="F739" t="s">
        <v>58</v>
      </c>
      <c r="G739" t="s">
        <v>134</v>
      </c>
      <c r="H739" t="s">
        <v>26</v>
      </c>
      <c r="I739">
        <v>1</v>
      </c>
      <c r="J739">
        <v>45889.42</v>
      </c>
      <c r="K739">
        <v>0.1</v>
      </c>
      <c r="L739">
        <v>41300.480000000003</v>
      </c>
      <c r="M739">
        <v>29965.19</v>
      </c>
      <c r="N739">
        <v>11335.29</v>
      </c>
      <c r="O739" t="s">
        <v>38</v>
      </c>
      <c r="P739" t="s">
        <v>39</v>
      </c>
      <c r="Q739" t="s">
        <v>46</v>
      </c>
      <c r="R739" t="s">
        <v>633</v>
      </c>
      <c r="S739">
        <v>10</v>
      </c>
      <c r="T739" t="s">
        <v>634</v>
      </c>
      <c r="U739">
        <v>0.27445903776420999</v>
      </c>
    </row>
    <row r="740" spans="1:21">
      <c r="A740">
        <v>406</v>
      </c>
      <c r="B740" s="1">
        <v>45932</v>
      </c>
      <c r="C740" t="s">
        <v>128</v>
      </c>
      <c r="D740" t="s">
        <v>430</v>
      </c>
      <c r="E740" t="s">
        <v>76</v>
      </c>
      <c r="F740" t="s">
        <v>113</v>
      </c>
      <c r="G740" t="s">
        <v>69</v>
      </c>
      <c r="H740" t="s">
        <v>70</v>
      </c>
      <c r="I740">
        <v>4</v>
      </c>
      <c r="J740">
        <v>2764.33</v>
      </c>
      <c r="K740">
        <v>0.1</v>
      </c>
      <c r="L740">
        <v>9951.59</v>
      </c>
      <c r="M740">
        <v>8850.16</v>
      </c>
      <c r="N740">
        <v>1101.43</v>
      </c>
      <c r="O740" t="s">
        <v>27</v>
      </c>
      <c r="P740" t="s">
        <v>71</v>
      </c>
      <c r="Q740" t="s">
        <v>46</v>
      </c>
      <c r="R740" t="s">
        <v>633</v>
      </c>
      <c r="S740">
        <v>10</v>
      </c>
      <c r="T740" t="s">
        <v>634</v>
      </c>
      <c r="U740">
        <v>0.11067879605168622</v>
      </c>
    </row>
    <row r="741" spans="1:21">
      <c r="A741">
        <v>752</v>
      </c>
      <c r="B741" s="1">
        <v>45932</v>
      </c>
      <c r="C741" t="s">
        <v>342</v>
      </c>
      <c r="D741" t="s">
        <v>118</v>
      </c>
      <c r="E741" t="s">
        <v>23</v>
      </c>
      <c r="F741" t="s">
        <v>58</v>
      </c>
      <c r="G741" t="s">
        <v>59</v>
      </c>
      <c r="H741" t="s">
        <v>37</v>
      </c>
      <c r="I741">
        <v>2</v>
      </c>
      <c r="J741">
        <v>13448.23</v>
      </c>
      <c r="K741">
        <v>0.1</v>
      </c>
      <c r="L741">
        <v>24206.81</v>
      </c>
      <c r="M741">
        <v>21843.19</v>
      </c>
      <c r="N741">
        <v>2363.62</v>
      </c>
      <c r="O741" t="s">
        <v>38</v>
      </c>
      <c r="P741" t="s">
        <v>28</v>
      </c>
      <c r="Q741" t="s">
        <v>29</v>
      </c>
      <c r="R741" t="s">
        <v>633</v>
      </c>
      <c r="S741">
        <v>10</v>
      </c>
      <c r="T741" t="s">
        <v>634</v>
      </c>
      <c r="U741">
        <v>9.7642770774009457E-2</v>
      </c>
    </row>
    <row r="742" spans="1:21">
      <c r="A742">
        <v>244</v>
      </c>
      <c r="B742" s="1">
        <v>45932</v>
      </c>
      <c r="C742" t="s">
        <v>249</v>
      </c>
      <c r="D742" t="s">
        <v>635</v>
      </c>
      <c r="E742" t="s">
        <v>34</v>
      </c>
      <c r="F742" t="s">
        <v>86</v>
      </c>
      <c r="G742" t="s">
        <v>59</v>
      </c>
      <c r="H742" t="s">
        <v>37</v>
      </c>
      <c r="I742">
        <v>1</v>
      </c>
      <c r="J742">
        <v>6853.72</v>
      </c>
      <c r="K742">
        <v>0</v>
      </c>
      <c r="L742">
        <v>6853.72</v>
      </c>
      <c r="M742">
        <v>5936.2</v>
      </c>
      <c r="N742">
        <v>917.52</v>
      </c>
      <c r="O742" t="s">
        <v>27</v>
      </c>
      <c r="P742" t="s">
        <v>45</v>
      </c>
      <c r="Q742" t="s">
        <v>46</v>
      </c>
      <c r="R742" t="s">
        <v>633</v>
      </c>
      <c r="S742">
        <v>10</v>
      </c>
      <c r="T742" t="s">
        <v>634</v>
      </c>
      <c r="U742">
        <v>0.13387182435232253</v>
      </c>
    </row>
    <row r="743" spans="1:21">
      <c r="A743">
        <v>358</v>
      </c>
      <c r="B743" s="1">
        <v>45933</v>
      </c>
      <c r="C743" t="s">
        <v>546</v>
      </c>
      <c r="D743" t="s">
        <v>543</v>
      </c>
      <c r="E743" t="s">
        <v>97</v>
      </c>
      <c r="F743" t="s">
        <v>104</v>
      </c>
      <c r="G743" t="s">
        <v>59</v>
      </c>
      <c r="H743" t="s">
        <v>37</v>
      </c>
      <c r="I743">
        <v>4</v>
      </c>
      <c r="J743">
        <v>13046.89</v>
      </c>
      <c r="K743">
        <v>0.15</v>
      </c>
      <c r="L743">
        <v>44359.43</v>
      </c>
      <c r="M743">
        <v>33202.9</v>
      </c>
      <c r="N743">
        <v>11156.53</v>
      </c>
      <c r="O743" t="s">
        <v>27</v>
      </c>
      <c r="P743" t="s">
        <v>28</v>
      </c>
      <c r="Q743" t="s">
        <v>29</v>
      </c>
      <c r="R743" t="s">
        <v>633</v>
      </c>
      <c r="S743">
        <v>10</v>
      </c>
      <c r="T743" t="s">
        <v>634</v>
      </c>
      <c r="U743">
        <v>0.25150300623790706</v>
      </c>
    </row>
    <row r="744" spans="1:21">
      <c r="A744">
        <v>764</v>
      </c>
      <c r="B744" s="1">
        <v>45933</v>
      </c>
      <c r="C744" t="s">
        <v>64</v>
      </c>
      <c r="D744" t="s">
        <v>575</v>
      </c>
      <c r="E744" t="s">
        <v>34</v>
      </c>
      <c r="F744" t="s">
        <v>86</v>
      </c>
      <c r="G744" t="s">
        <v>99</v>
      </c>
      <c r="H744" t="s">
        <v>26</v>
      </c>
      <c r="I744">
        <v>1</v>
      </c>
      <c r="J744">
        <v>14325.93</v>
      </c>
      <c r="K744">
        <v>0</v>
      </c>
      <c r="L744">
        <v>14325.93</v>
      </c>
      <c r="M744">
        <v>12347.76</v>
      </c>
      <c r="N744">
        <v>1978.17</v>
      </c>
      <c r="O744" t="s">
        <v>38</v>
      </c>
      <c r="P744" t="s">
        <v>45</v>
      </c>
      <c r="Q744" t="s">
        <v>46</v>
      </c>
      <c r="R744" t="s">
        <v>633</v>
      </c>
      <c r="S744">
        <v>10</v>
      </c>
      <c r="T744" t="s">
        <v>634</v>
      </c>
      <c r="U744">
        <v>0.13808318203425538</v>
      </c>
    </row>
    <row r="745" spans="1:21">
      <c r="A745">
        <v>471</v>
      </c>
      <c r="B745" s="1">
        <v>45933</v>
      </c>
      <c r="C745" t="s">
        <v>348</v>
      </c>
      <c r="D745" t="s">
        <v>636</v>
      </c>
      <c r="E745" t="s">
        <v>23</v>
      </c>
      <c r="F745" t="s">
        <v>24</v>
      </c>
      <c r="G745" t="s">
        <v>69</v>
      </c>
      <c r="H745" t="s">
        <v>70</v>
      </c>
      <c r="I745">
        <v>4</v>
      </c>
      <c r="J745">
        <v>2643.16</v>
      </c>
      <c r="K745">
        <v>0.05</v>
      </c>
      <c r="L745">
        <v>10044.01</v>
      </c>
      <c r="M745">
        <v>8786.98</v>
      </c>
      <c r="N745">
        <v>1257.03</v>
      </c>
      <c r="O745" t="s">
        <v>27</v>
      </c>
      <c r="P745" t="s">
        <v>39</v>
      </c>
      <c r="Q745" t="s">
        <v>46</v>
      </c>
      <c r="R745" t="s">
        <v>633</v>
      </c>
      <c r="S745">
        <v>10</v>
      </c>
      <c r="T745" t="s">
        <v>634</v>
      </c>
      <c r="U745">
        <v>0.12515220514515615</v>
      </c>
    </row>
    <row r="746" spans="1:21">
      <c r="A746">
        <v>211</v>
      </c>
      <c r="B746" s="1">
        <v>45934</v>
      </c>
      <c r="C746" t="s">
        <v>370</v>
      </c>
      <c r="D746" t="s">
        <v>136</v>
      </c>
      <c r="E746" t="s">
        <v>54</v>
      </c>
      <c r="F746" t="s">
        <v>55</v>
      </c>
      <c r="G746" t="s">
        <v>66</v>
      </c>
      <c r="H746" t="s">
        <v>51</v>
      </c>
      <c r="I746">
        <v>1</v>
      </c>
      <c r="J746">
        <v>3442.96</v>
      </c>
      <c r="K746">
        <v>0</v>
      </c>
      <c r="L746">
        <v>3442.96</v>
      </c>
      <c r="M746">
        <v>2314.89</v>
      </c>
      <c r="N746">
        <v>1128.07</v>
      </c>
      <c r="O746" t="s">
        <v>38</v>
      </c>
      <c r="P746" t="s">
        <v>78</v>
      </c>
      <c r="Q746" t="s">
        <v>40</v>
      </c>
      <c r="R746" t="s">
        <v>633</v>
      </c>
      <c r="S746">
        <v>10</v>
      </c>
      <c r="T746" t="s">
        <v>634</v>
      </c>
      <c r="U746">
        <v>0.32764539814578153</v>
      </c>
    </row>
    <row r="747" spans="1:21">
      <c r="A747">
        <v>2</v>
      </c>
      <c r="B747" s="1">
        <v>45934</v>
      </c>
      <c r="C747" t="s">
        <v>355</v>
      </c>
      <c r="D747" t="s">
        <v>367</v>
      </c>
      <c r="E747" t="s">
        <v>76</v>
      </c>
      <c r="F747" t="s">
        <v>77</v>
      </c>
      <c r="G747" t="s">
        <v>36</v>
      </c>
      <c r="H747" t="s">
        <v>37</v>
      </c>
      <c r="I747">
        <v>3</v>
      </c>
      <c r="J747">
        <v>13989.31</v>
      </c>
      <c r="K747">
        <v>0.02</v>
      </c>
      <c r="L747">
        <v>41128.57</v>
      </c>
      <c r="M747">
        <v>28004.13</v>
      </c>
      <c r="N747">
        <v>13124.44</v>
      </c>
      <c r="O747" t="s">
        <v>38</v>
      </c>
      <c r="P747" t="s">
        <v>78</v>
      </c>
      <c r="Q747" t="s">
        <v>29</v>
      </c>
      <c r="R747" t="s">
        <v>633</v>
      </c>
      <c r="S747">
        <v>10</v>
      </c>
      <c r="T747" t="s">
        <v>634</v>
      </c>
      <c r="U747">
        <v>0.31910761789189368</v>
      </c>
    </row>
    <row r="748" spans="1:21">
      <c r="A748">
        <v>341</v>
      </c>
      <c r="B748" s="1">
        <v>45934</v>
      </c>
      <c r="C748" t="s">
        <v>502</v>
      </c>
      <c r="D748" t="s">
        <v>308</v>
      </c>
      <c r="E748" t="s">
        <v>54</v>
      </c>
      <c r="F748" t="s">
        <v>127</v>
      </c>
      <c r="G748" t="s">
        <v>62</v>
      </c>
      <c r="H748" t="s">
        <v>63</v>
      </c>
      <c r="I748">
        <v>1</v>
      </c>
      <c r="J748">
        <v>205.04</v>
      </c>
      <c r="K748">
        <v>0</v>
      </c>
      <c r="L748">
        <v>205.04</v>
      </c>
      <c r="M748">
        <v>140.88999999999999</v>
      </c>
      <c r="N748">
        <v>64.150000000000006</v>
      </c>
      <c r="O748" t="s">
        <v>27</v>
      </c>
      <c r="P748" t="s">
        <v>71</v>
      </c>
      <c r="Q748" t="s">
        <v>29</v>
      </c>
      <c r="R748" t="s">
        <v>633</v>
      </c>
      <c r="S748">
        <v>10</v>
      </c>
      <c r="T748" t="s">
        <v>634</v>
      </c>
      <c r="U748">
        <v>0.31286578228638318</v>
      </c>
    </row>
    <row r="749" spans="1:21">
      <c r="A749">
        <v>292</v>
      </c>
      <c r="B749" s="1">
        <v>45935</v>
      </c>
      <c r="C749" t="s">
        <v>469</v>
      </c>
      <c r="D749" t="s">
        <v>210</v>
      </c>
      <c r="E749" t="s">
        <v>34</v>
      </c>
      <c r="F749" t="s">
        <v>35</v>
      </c>
      <c r="G749" t="s">
        <v>50</v>
      </c>
      <c r="H749" t="s">
        <v>51</v>
      </c>
      <c r="I749">
        <v>2</v>
      </c>
      <c r="J749">
        <v>1202.1300000000001</v>
      </c>
      <c r="K749">
        <v>0.02</v>
      </c>
      <c r="L749">
        <v>2356.17</v>
      </c>
      <c r="M749">
        <v>2088.44</v>
      </c>
      <c r="N749">
        <v>267.73</v>
      </c>
      <c r="O749" t="s">
        <v>27</v>
      </c>
      <c r="P749" t="s">
        <v>71</v>
      </c>
      <c r="Q749" t="s">
        <v>46</v>
      </c>
      <c r="R749" t="s">
        <v>633</v>
      </c>
      <c r="S749">
        <v>10</v>
      </c>
      <c r="T749" t="s">
        <v>634</v>
      </c>
      <c r="U749">
        <v>0.11362932216266229</v>
      </c>
    </row>
    <row r="750" spans="1:21">
      <c r="A750">
        <v>946</v>
      </c>
      <c r="B750" s="1">
        <v>45935</v>
      </c>
      <c r="C750" t="s">
        <v>511</v>
      </c>
      <c r="D750" t="s">
        <v>626</v>
      </c>
      <c r="E750" t="s">
        <v>54</v>
      </c>
      <c r="F750" t="s">
        <v>127</v>
      </c>
      <c r="G750" t="s">
        <v>69</v>
      </c>
      <c r="H750" t="s">
        <v>70</v>
      </c>
      <c r="I750">
        <v>2</v>
      </c>
      <c r="J750">
        <v>3085.64</v>
      </c>
      <c r="K750">
        <v>0.02</v>
      </c>
      <c r="L750">
        <v>6047.85</v>
      </c>
      <c r="M750">
        <v>4618.08</v>
      </c>
      <c r="N750">
        <v>1429.77</v>
      </c>
      <c r="O750" t="s">
        <v>38</v>
      </c>
      <c r="P750" t="s">
        <v>78</v>
      </c>
      <c r="Q750" t="s">
        <v>29</v>
      </c>
      <c r="R750" t="s">
        <v>633</v>
      </c>
      <c r="S750">
        <v>10</v>
      </c>
      <c r="T750" t="s">
        <v>634</v>
      </c>
      <c r="U750">
        <v>0.23640963317542596</v>
      </c>
    </row>
    <row r="751" spans="1:21">
      <c r="A751">
        <v>434</v>
      </c>
      <c r="B751" s="1">
        <v>45935</v>
      </c>
      <c r="C751" t="s">
        <v>67</v>
      </c>
      <c r="D751" t="s">
        <v>365</v>
      </c>
      <c r="E751" t="s">
        <v>76</v>
      </c>
      <c r="F751" t="s">
        <v>77</v>
      </c>
      <c r="G751" t="s">
        <v>99</v>
      </c>
      <c r="H751" t="s">
        <v>26</v>
      </c>
      <c r="I751">
        <v>4</v>
      </c>
      <c r="J751">
        <v>17335.91</v>
      </c>
      <c r="K751">
        <v>0</v>
      </c>
      <c r="L751">
        <v>69343.64</v>
      </c>
      <c r="M751">
        <v>59949.73</v>
      </c>
      <c r="N751">
        <v>9393.91</v>
      </c>
      <c r="O751" t="s">
        <v>27</v>
      </c>
      <c r="P751" t="s">
        <v>45</v>
      </c>
      <c r="Q751" t="s">
        <v>29</v>
      </c>
      <c r="R751" t="s">
        <v>633</v>
      </c>
      <c r="S751">
        <v>10</v>
      </c>
      <c r="T751" t="s">
        <v>634</v>
      </c>
      <c r="U751">
        <v>0.13546894855822394</v>
      </c>
    </row>
    <row r="752" spans="1:21">
      <c r="A752">
        <v>562</v>
      </c>
      <c r="B752" s="1">
        <v>45935</v>
      </c>
      <c r="C752" t="s">
        <v>363</v>
      </c>
      <c r="D752" t="s">
        <v>176</v>
      </c>
      <c r="E752" t="s">
        <v>54</v>
      </c>
      <c r="F752" t="s">
        <v>127</v>
      </c>
      <c r="G752" t="s">
        <v>62</v>
      </c>
      <c r="H752" t="s">
        <v>63</v>
      </c>
      <c r="I752">
        <v>2</v>
      </c>
      <c r="J752">
        <v>92.4</v>
      </c>
      <c r="K752">
        <v>0</v>
      </c>
      <c r="L752">
        <v>184.8</v>
      </c>
      <c r="M752">
        <v>145.63</v>
      </c>
      <c r="N752">
        <v>39.17</v>
      </c>
      <c r="O752" t="s">
        <v>38</v>
      </c>
      <c r="P752" t="s">
        <v>45</v>
      </c>
      <c r="Q752" t="s">
        <v>40</v>
      </c>
      <c r="R752" t="s">
        <v>633</v>
      </c>
      <c r="S752">
        <v>10</v>
      </c>
      <c r="T752" t="s">
        <v>634</v>
      </c>
      <c r="U752">
        <v>0.21195887445887446</v>
      </c>
    </row>
    <row r="753" spans="1:21">
      <c r="A753">
        <v>507</v>
      </c>
      <c r="B753" s="1">
        <v>45935</v>
      </c>
      <c r="C753" t="s">
        <v>390</v>
      </c>
      <c r="D753" t="s">
        <v>516</v>
      </c>
      <c r="E753" t="s">
        <v>23</v>
      </c>
      <c r="F753" t="s">
        <v>24</v>
      </c>
      <c r="G753" t="s">
        <v>62</v>
      </c>
      <c r="H753" t="s">
        <v>63</v>
      </c>
      <c r="I753">
        <v>3</v>
      </c>
      <c r="J753">
        <v>287.51</v>
      </c>
      <c r="K753">
        <v>0.15</v>
      </c>
      <c r="L753">
        <v>733.15</v>
      </c>
      <c r="M753">
        <v>736.02</v>
      </c>
      <c r="N753">
        <v>-2.87</v>
      </c>
      <c r="O753" t="s">
        <v>27</v>
      </c>
      <c r="P753" t="s">
        <v>39</v>
      </c>
      <c r="Q753" t="s">
        <v>40</v>
      </c>
      <c r="R753" t="s">
        <v>633</v>
      </c>
      <c r="S753">
        <v>10</v>
      </c>
      <c r="T753" t="s">
        <v>634</v>
      </c>
      <c r="U753">
        <v>-3.9146150173907119E-3</v>
      </c>
    </row>
    <row r="754" spans="1:21">
      <c r="A754">
        <v>599</v>
      </c>
      <c r="B754" s="1">
        <v>45936</v>
      </c>
      <c r="C754" t="s">
        <v>625</v>
      </c>
      <c r="D754" t="s">
        <v>477</v>
      </c>
      <c r="E754" t="s">
        <v>97</v>
      </c>
      <c r="F754" t="s">
        <v>148</v>
      </c>
      <c r="G754" t="s">
        <v>69</v>
      </c>
      <c r="H754" t="s">
        <v>70</v>
      </c>
      <c r="I754">
        <v>2</v>
      </c>
      <c r="J754">
        <v>1497.41</v>
      </c>
      <c r="K754">
        <v>0.1</v>
      </c>
      <c r="L754">
        <v>2695.34</v>
      </c>
      <c r="M754">
        <v>2377.92</v>
      </c>
      <c r="N754">
        <v>317.42</v>
      </c>
      <c r="O754" t="s">
        <v>27</v>
      </c>
      <c r="P754" t="s">
        <v>71</v>
      </c>
      <c r="Q754" t="s">
        <v>40</v>
      </c>
      <c r="R754" t="s">
        <v>633</v>
      </c>
      <c r="S754">
        <v>10</v>
      </c>
      <c r="T754" t="s">
        <v>634</v>
      </c>
      <c r="U754">
        <v>0.11776621873307264</v>
      </c>
    </row>
    <row r="755" spans="1:21">
      <c r="A755">
        <v>714</v>
      </c>
      <c r="B755" s="1">
        <v>45936</v>
      </c>
      <c r="C755" t="s">
        <v>301</v>
      </c>
      <c r="D755" t="s">
        <v>167</v>
      </c>
      <c r="E755" t="s">
        <v>54</v>
      </c>
      <c r="F755" t="s">
        <v>127</v>
      </c>
      <c r="G755" t="s">
        <v>105</v>
      </c>
      <c r="H755" t="s">
        <v>26</v>
      </c>
      <c r="I755">
        <v>1</v>
      </c>
      <c r="J755">
        <v>1305.3900000000001</v>
      </c>
      <c r="K755">
        <v>0.02</v>
      </c>
      <c r="L755">
        <v>1279.28</v>
      </c>
      <c r="M755">
        <v>874.34</v>
      </c>
      <c r="N755">
        <v>404.94</v>
      </c>
      <c r="O755" t="s">
        <v>38</v>
      </c>
      <c r="P755" t="s">
        <v>78</v>
      </c>
      <c r="Q755" t="s">
        <v>46</v>
      </c>
      <c r="R755" t="s">
        <v>633</v>
      </c>
      <c r="S755">
        <v>10</v>
      </c>
      <c r="T755" t="s">
        <v>634</v>
      </c>
      <c r="U755">
        <v>0.31653742730285789</v>
      </c>
    </row>
    <row r="756" spans="1:21">
      <c r="A756">
        <v>984</v>
      </c>
      <c r="B756" s="1">
        <v>45936</v>
      </c>
      <c r="C756" t="s">
        <v>508</v>
      </c>
      <c r="D756" t="s">
        <v>463</v>
      </c>
      <c r="E756" t="s">
        <v>76</v>
      </c>
      <c r="F756" t="s">
        <v>77</v>
      </c>
      <c r="G756" t="s">
        <v>62</v>
      </c>
      <c r="H756" t="s">
        <v>63</v>
      </c>
      <c r="I756">
        <v>4</v>
      </c>
      <c r="J756">
        <v>102</v>
      </c>
      <c r="K756">
        <v>0.1</v>
      </c>
      <c r="L756">
        <v>367.2</v>
      </c>
      <c r="M756">
        <v>287.85000000000002</v>
      </c>
      <c r="N756">
        <v>79.349999999999994</v>
      </c>
      <c r="O756" t="s">
        <v>27</v>
      </c>
      <c r="P756" t="s">
        <v>71</v>
      </c>
      <c r="Q756" t="s">
        <v>46</v>
      </c>
      <c r="R756" t="s">
        <v>633</v>
      </c>
      <c r="S756">
        <v>10</v>
      </c>
      <c r="T756" t="s">
        <v>634</v>
      </c>
      <c r="U756">
        <v>0.21609477124183005</v>
      </c>
    </row>
    <row r="757" spans="1:21">
      <c r="A757">
        <v>295</v>
      </c>
      <c r="B757" s="1">
        <v>45937</v>
      </c>
      <c r="C757" t="s">
        <v>558</v>
      </c>
      <c r="D757" t="s">
        <v>364</v>
      </c>
      <c r="E757" t="s">
        <v>97</v>
      </c>
      <c r="F757" t="s">
        <v>104</v>
      </c>
      <c r="G757" t="s">
        <v>99</v>
      </c>
      <c r="H757" t="s">
        <v>26</v>
      </c>
      <c r="I757">
        <v>1</v>
      </c>
      <c r="J757">
        <v>15200.08</v>
      </c>
      <c r="K757">
        <v>0.15</v>
      </c>
      <c r="L757">
        <v>12920.07</v>
      </c>
      <c r="M757">
        <v>11241.99</v>
      </c>
      <c r="N757">
        <v>1678.08</v>
      </c>
      <c r="O757" t="s">
        <v>38</v>
      </c>
      <c r="P757" t="s">
        <v>71</v>
      </c>
      <c r="Q757" t="s">
        <v>40</v>
      </c>
      <c r="R757" t="s">
        <v>633</v>
      </c>
      <c r="S757">
        <v>10</v>
      </c>
      <c r="T757" t="s">
        <v>634</v>
      </c>
      <c r="U757">
        <v>0.12988164924803039</v>
      </c>
    </row>
    <row r="758" spans="1:21">
      <c r="A758">
        <v>26</v>
      </c>
      <c r="B758" s="1">
        <v>45938</v>
      </c>
      <c r="C758" t="s">
        <v>168</v>
      </c>
      <c r="D758" t="s">
        <v>90</v>
      </c>
      <c r="E758" t="s">
        <v>54</v>
      </c>
      <c r="F758" t="s">
        <v>55</v>
      </c>
      <c r="G758" t="s">
        <v>69</v>
      </c>
      <c r="H758" t="s">
        <v>70</v>
      </c>
      <c r="I758">
        <v>1</v>
      </c>
      <c r="J758">
        <v>1315.46</v>
      </c>
      <c r="K758">
        <v>0.05</v>
      </c>
      <c r="L758">
        <v>1249.69</v>
      </c>
      <c r="M758">
        <v>873.56</v>
      </c>
      <c r="N758">
        <v>376.13</v>
      </c>
      <c r="O758" t="s">
        <v>27</v>
      </c>
      <c r="P758" t="s">
        <v>39</v>
      </c>
      <c r="Q758" t="s">
        <v>40</v>
      </c>
      <c r="R758" t="s">
        <v>633</v>
      </c>
      <c r="S758">
        <v>10</v>
      </c>
      <c r="T758" t="s">
        <v>634</v>
      </c>
      <c r="U758">
        <v>0.30097864270339042</v>
      </c>
    </row>
    <row r="759" spans="1:21">
      <c r="A759">
        <v>767</v>
      </c>
      <c r="B759" s="1">
        <v>45938</v>
      </c>
      <c r="C759" t="s">
        <v>637</v>
      </c>
      <c r="D759" t="s">
        <v>530</v>
      </c>
      <c r="E759" t="s">
        <v>23</v>
      </c>
      <c r="F759" t="s">
        <v>58</v>
      </c>
      <c r="G759" t="s">
        <v>69</v>
      </c>
      <c r="H759" t="s">
        <v>70</v>
      </c>
      <c r="I759">
        <v>2</v>
      </c>
      <c r="J759">
        <v>2930.41</v>
      </c>
      <c r="K759">
        <v>0.02</v>
      </c>
      <c r="L759">
        <v>5743.6</v>
      </c>
      <c r="M759">
        <v>4899.6400000000003</v>
      </c>
      <c r="N759">
        <v>843.96</v>
      </c>
      <c r="O759" t="s">
        <v>27</v>
      </c>
      <c r="P759" t="s">
        <v>78</v>
      </c>
      <c r="Q759" t="s">
        <v>40</v>
      </c>
      <c r="R759" t="s">
        <v>633</v>
      </c>
      <c r="S759">
        <v>10</v>
      </c>
      <c r="T759" t="s">
        <v>634</v>
      </c>
      <c r="U759">
        <v>0.14693920189428233</v>
      </c>
    </row>
    <row r="760" spans="1:21">
      <c r="A760">
        <v>832</v>
      </c>
      <c r="B760" s="1">
        <v>45938</v>
      </c>
      <c r="C760" t="s">
        <v>452</v>
      </c>
      <c r="D760" t="s">
        <v>232</v>
      </c>
      <c r="E760" t="s">
        <v>54</v>
      </c>
      <c r="F760" t="s">
        <v>127</v>
      </c>
      <c r="G760" t="s">
        <v>145</v>
      </c>
      <c r="H760" t="s">
        <v>70</v>
      </c>
      <c r="I760">
        <v>1</v>
      </c>
      <c r="J760">
        <v>2170.06</v>
      </c>
      <c r="K760">
        <v>0.05</v>
      </c>
      <c r="L760">
        <v>2061.56</v>
      </c>
      <c r="M760">
        <v>1421.11</v>
      </c>
      <c r="N760">
        <v>640.45000000000005</v>
      </c>
      <c r="O760" t="s">
        <v>27</v>
      </c>
      <c r="P760" t="s">
        <v>28</v>
      </c>
      <c r="Q760" t="s">
        <v>46</v>
      </c>
      <c r="R760" t="s">
        <v>633</v>
      </c>
      <c r="S760">
        <v>10</v>
      </c>
      <c r="T760" t="s">
        <v>634</v>
      </c>
      <c r="U760">
        <v>0.31066279904538313</v>
      </c>
    </row>
    <row r="761" spans="1:21">
      <c r="A761">
        <v>269</v>
      </c>
      <c r="B761" s="1">
        <v>45938</v>
      </c>
      <c r="C761" t="s">
        <v>240</v>
      </c>
      <c r="D761" t="s">
        <v>344</v>
      </c>
      <c r="E761" t="s">
        <v>76</v>
      </c>
      <c r="F761" t="s">
        <v>113</v>
      </c>
      <c r="G761" t="s">
        <v>50</v>
      </c>
      <c r="H761" t="s">
        <v>51</v>
      </c>
      <c r="I761">
        <v>1</v>
      </c>
      <c r="J761">
        <v>1099.6600000000001</v>
      </c>
      <c r="K761">
        <v>0.1</v>
      </c>
      <c r="L761">
        <v>989.69</v>
      </c>
      <c r="M761">
        <v>718.84</v>
      </c>
      <c r="N761">
        <v>270.85000000000002</v>
      </c>
      <c r="O761" t="s">
        <v>38</v>
      </c>
      <c r="P761" t="s">
        <v>78</v>
      </c>
      <c r="Q761" t="s">
        <v>46</v>
      </c>
      <c r="R761" t="s">
        <v>633</v>
      </c>
      <c r="S761">
        <v>10</v>
      </c>
      <c r="T761" t="s">
        <v>634</v>
      </c>
      <c r="U761">
        <v>0.27367155371884128</v>
      </c>
    </row>
    <row r="762" spans="1:21">
      <c r="A762">
        <v>381</v>
      </c>
      <c r="B762" s="1">
        <v>45939</v>
      </c>
      <c r="C762" t="s">
        <v>452</v>
      </c>
      <c r="D762" t="s">
        <v>617</v>
      </c>
      <c r="E762" t="s">
        <v>34</v>
      </c>
      <c r="F762" t="s">
        <v>35</v>
      </c>
      <c r="G762" t="s">
        <v>44</v>
      </c>
      <c r="H762" t="s">
        <v>26</v>
      </c>
      <c r="I762">
        <v>2</v>
      </c>
      <c r="J762">
        <v>55137.56</v>
      </c>
      <c r="K762">
        <v>0</v>
      </c>
      <c r="L762">
        <v>110275.12</v>
      </c>
      <c r="M762">
        <v>87394.81</v>
      </c>
      <c r="N762">
        <v>22880.31</v>
      </c>
      <c r="O762" t="s">
        <v>38</v>
      </c>
      <c r="P762" t="s">
        <v>45</v>
      </c>
      <c r="Q762" t="s">
        <v>46</v>
      </c>
      <c r="R762" t="s">
        <v>633</v>
      </c>
      <c r="S762">
        <v>10</v>
      </c>
      <c r="T762" t="s">
        <v>634</v>
      </c>
      <c r="U762">
        <v>0.20748388213043886</v>
      </c>
    </row>
    <row r="763" spans="1:21">
      <c r="A763">
        <v>54</v>
      </c>
      <c r="B763" s="1">
        <v>45939</v>
      </c>
      <c r="C763" t="s">
        <v>175</v>
      </c>
      <c r="D763" t="s">
        <v>141</v>
      </c>
      <c r="E763" t="s">
        <v>97</v>
      </c>
      <c r="F763" t="s">
        <v>148</v>
      </c>
      <c r="G763" t="s">
        <v>44</v>
      </c>
      <c r="H763" t="s">
        <v>26</v>
      </c>
      <c r="I763">
        <v>4</v>
      </c>
      <c r="J763">
        <v>64607.4</v>
      </c>
      <c r="K763">
        <v>0</v>
      </c>
      <c r="L763">
        <v>258429.6</v>
      </c>
      <c r="M763">
        <v>185540.08</v>
      </c>
      <c r="N763">
        <v>72889.52</v>
      </c>
      <c r="O763" t="s">
        <v>27</v>
      </c>
      <c r="P763" t="s">
        <v>39</v>
      </c>
      <c r="Q763" t="s">
        <v>46</v>
      </c>
      <c r="R763" t="s">
        <v>633</v>
      </c>
      <c r="S763">
        <v>10</v>
      </c>
      <c r="T763" t="s">
        <v>634</v>
      </c>
      <c r="U763">
        <v>0.28204787686859401</v>
      </c>
    </row>
    <row r="764" spans="1:21">
      <c r="A764">
        <v>334</v>
      </c>
      <c r="B764" s="1">
        <v>45939</v>
      </c>
      <c r="C764" t="s">
        <v>93</v>
      </c>
      <c r="D764" t="s">
        <v>605</v>
      </c>
      <c r="E764" t="s">
        <v>97</v>
      </c>
      <c r="F764" t="s">
        <v>104</v>
      </c>
      <c r="G764" t="s">
        <v>25</v>
      </c>
      <c r="H764" t="s">
        <v>26</v>
      </c>
      <c r="I764">
        <v>1</v>
      </c>
      <c r="J764">
        <v>16771.939999999999</v>
      </c>
      <c r="K764">
        <v>0.15</v>
      </c>
      <c r="L764">
        <v>14256.15</v>
      </c>
      <c r="M764">
        <v>13138.98</v>
      </c>
      <c r="N764">
        <v>1117.17</v>
      </c>
      <c r="O764" t="s">
        <v>27</v>
      </c>
      <c r="P764" t="s">
        <v>78</v>
      </c>
      <c r="Q764" t="s">
        <v>29</v>
      </c>
      <c r="R764" t="s">
        <v>633</v>
      </c>
      <c r="S764">
        <v>10</v>
      </c>
      <c r="T764" t="s">
        <v>634</v>
      </c>
      <c r="U764">
        <v>7.8364074452078589E-2</v>
      </c>
    </row>
    <row r="765" spans="1:21">
      <c r="A765">
        <v>13</v>
      </c>
      <c r="B765" s="1">
        <v>45940</v>
      </c>
      <c r="C765" t="s">
        <v>470</v>
      </c>
      <c r="D765" t="s">
        <v>556</v>
      </c>
      <c r="E765" t="s">
        <v>23</v>
      </c>
      <c r="F765" t="s">
        <v>24</v>
      </c>
      <c r="G765" t="s">
        <v>59</v>
      </c>
      <c r="H765" t="s">
        <v>37</v>
      </c>
      <c r="I765">
        <v>4</v>
      </c>
      <c r="J765">
        <v>16649.189999999999</v>
      </c>
      <c r="K765">
        <v>0</v>
      </c>
      <c r="L765">
        <v>66596.759999999995</v>
      </c>
      <c r="M765">
        <v>46002</v>
      </c>
      <c r="N765">
        <v>20594.759999999998</v>
      </c>
      <c r="O765" t="s">
        <v>38</v>
      </c>
      <c r="P765" t="s">
        <v>28</v>
      </c>
      <c r="Q765" t="s">
        <v>46</v>
      </c>
      <c r="R765" t="s">
        <v>633</v>
      </c>
      <c r="S765">
        <v>10</v>
      </c>
      <c r="T765" t="s">
        <v>634</v>
      </c>
      <c r="U765">
        <v>0.30924567501482053</v>
      </c>
    </row>
    <row r="766" spans="1:21">
      <c r="A766">
        <v>389</v>
      </c>
      <c r="B766" s="1">
        <v>45940</v>
      </c>
      <c r="C766" t="s">
        <v>426</v>
      </c>
      <c r="D766" t="s">
        <v>383</v>
      </c>
      <c r="E766" t="s">
        <v>76</v>
      </c>
      <c r="F766" t="s">
        <v>77</v>
      </c>
      <c r="G766" t="s">
        <v>105</v>
      </c>
      <c r="H766" t="s">
        <v>26</v>
      </c>
      <c r="I766">
        <v>4</v>
      </c>
      <c r="J766">
        <v>2704.42</v>
      </c>
      <c r="K766">
        <v>0.15</v>
      </c>
      <c r="L766">
        <v>9195.0300000000007</v>
      </c>
      <c r="M766">
        <v>8328.35</v>
      </c>
      <c r="N766">
        <v>866.68</v>
      </c>
      <c r="O766" t="s">
        <v>38</v>
      </c>
      <c r="P766" t="s">
        <v>71</v>
      </c>
      <c r="Q766" t="s">
        <v>46</v>
      </c>
      <c r="R766" t="s">
        <v>633</v>
      </c>
      <c r="S766">
        <v>10</v>
      </c>
      <c r="T766" t="s">
        <v>634</v>
      </c>
      <c r="U766">
        <v>9.4255266160088641E-2</v>
      </c>
    </row>
    <row r="767" spans="1:21">
      <c r="A767">
        <v>316</v>
      </c>
      <c r="B767" s="1">
        <v>45940</v>
      </c>
      <c r="C767" t="s">
        <v>615</v>
      </c>
      <c r="D767" t="s">
        <v>458</v>
      </c>
      <c r="E767" t="s">
        <v>54</v>
      </c>
      <c r="F767" t="s">
        <v>127</v>
      </c>
      <c r="G767" t="s">
        <v>66</v>
      </c>
      <c r="H767" t="s">
        <v>51</v>
      </c>
      <c r="I767">
        <v>3</v>
      </c>
      <c r="J767">
        <v>2822.46</v>
      </c>
      <c r="K767">
        <v>0</v>
      </c>
      <c r="L767">
        <v>8467.3799999999992</v>
      </c>
      <c r="M767">
        <v>6346.22</v>
      </c>
      <c r="N767">
        <v>2121.16</v>
      </c>
      <c r="O767" t="s">
        <v>38</v>
      </c>
      <c r="P767" t="s">
        <v>78</v>
      </c>
      <c r="Q767" t="s">
        <v>46</v>
      </c>
      <c r="R767" t="s">
        <v>633</v>
      </c>
      <c r="S767">
        <v>10</v>
      </c>
      <c r="T767" t="s">
        <v>634</v>
      </c>
      <c r="U767">
        <v>0.25050960273425782</v>
      </c>
    </row>
    <row r="768" spans="1:21">
      <c r="A768">
        <v>852</v>
      </c>
      <c r="B768" s="1">
        <v>45940</v>
      </c>
      <c r="C768" t="s">
        <v>475</v>
      </c>
      <c r="D768" t="s">
        <v>157</v>
      </c>
      <c r="E768" t="s">
        <v>97</v>
      </c>
      <c r="F768" t="s">
        <v>104</v>
      </c>
      <c r="G768" t="s">
        <v>134</v>
      </c>
      <c r="H768" t="s">
        <v>26</v>
      </c>
      <c r="I768">
        <v>3</v>
      </c>
      <c r="J768">
        <v>39487.269999999997</v>
      </c>
      <c r="K768">
        <v>0.02</v>
      </c>
      <c r="L768">
        <v>116092.57</v>
      </c>
      <c r="M768">
        <v>78705.75</v>
      </c>
      <c r="N768">
        <v>37386.82</v>
      </c>
      <c r="O768" t="s">
        <v>38</v>
      </c>
      <c r="P768" t="s">
        <v>45</v>
      </c>
      <c r="Q768" t="s">
        <v>29</v>
      </c>
      <c r="R768" t="s">
        <v>633</v>
      </c>
      <c r="S768">
        <v>10</v>
      </c>
      <c r="T768" t="s">
        <v>634</v>
      </c>
      <c r="U768">
        <v>0.32204317640655211</v>
      </c>
    </row>
    <row r="769" spans="1:21">
      <c r="A769">
        <v>889</v>
      </c>
      <c r="B769" s="1">
        <v>45941</v>
      </c>
      <c r="C769" t="s">
        <v>270</v>
      </c>
      <c r="D769" t="s">
        <v>613</v>
      </c>
      <c r="E769" t="s">
        <v>76</v>
      </c>
      <c r="F769" t="s">
        <v>81</v>
      </c>
      <c r="G769" t="s">
        <v>36</v>
      </c>
      <c r="H769" t="s">
        <v>37</v>
      </c>
      <c r="I769">
        <v>2</v>
      </c>
      <c r="J769">
        <v>13676.83</v>
      </c>
      <c r="K769">
        <v>0</v>
      </c>
      <c r="L769">
        <v>27353.66</v>
      </c>
      <c r="M769">
        <v>23943.759999999998</v>
      </c>
      <c r="N769">
        <v>3409.9</v>
      </c>
      <c r="O769" t="s">
        <v>27</v>
      </c>
      <c r="P769" t="s">
        <v>71</v>
      </c>
      <c r="Q769" t="s">
        <v>29</v>
      </c>
      <c r="R769" t="s">
        <v>633</v>
      </c>
      <c r="S769">
        <v>10</v>
      </c>
      <c r="T769" t="s">
        <v>634</v>
      </c>
      <c r="U769">
        <v>0.12465973474847608</v>
      </c>
    </row>
    <row r="770" spans="1:21">
      <c r="A770">
        <v>448</v>
      </c>
      <c r="B770" s="1">
        <v>45941</v>
      </c>
      <c r="C770" t="s">
        <v>517</v>
      </c>
      <c r="D770" t="s">
        <v>587</v>
      </c>
      <c r="E770" t="s">
        <v>23</v>
      </c>
      <c r="F770" t="s">
        <v>24</v>
      </c>
      <c r="G770" t="s">
        <v>69</v>
      </c>
      <c r="H770" t="s">
        <v>70</v>
      </c>
      <c r="I770">
        <v>1</v>
      </c>
      <c r="J770">
        <v>3362.25</v>
      </c>
      <c r="K770">
        <v>0.15</v>
      </c>
      <c r="L770">
        <v>2857.91</v>
      </c>
      <c r="M770">
        <v>2164.27</v>
      </c>
      <c r="N770">
        <v>693.64</v>
      </c>
      <c r="O770" t="s">
        <v>38</v>
      </c>
      <c r="P770" t="s">
        <v>39</v>
      </c>
      <c r="Q770" t="s">
        <v>46</v>
      </c>
      <c r="R770" t="s">
        <v>633</v>
      </c>
      <c r="S770">
        <v>10</v>
      </c>
      <c r="T770" t="s">
        <v>634</v>
      </c>
      <c r="U770">
        <v>0.24270883267842586</v>
      </c>
    </row>
    <row r="771" spans="1:21">
      <c r="A771">
        <v>702</v>
      </c>
      <c r="B771" s="1">
        <v>45942</v>
      </c>
      <c r="C771" t="s">
        <v>537</v>
      </c>
      <c r="D771" t="s">
        <v>83</v>
      </c>
      <c r="E771" t="s">
        <v>54</v>
      </c>
      <c r="F771" t="s">
        <v>127</v>
      </c>
      <c r="G771" t="s">
        <v>44</v>
      </c>
      <c r="H771" t="s">
        <v>26</v>
      </c>
      <c r="I771">
        <v>1</v>
      </c>
      <c r="J771">
        <v>57987.99</v>
      </c>
      <c r="K771">
        <v>0.05</v>
      </c>
      <c r="L771">
        <v>55088.59</v>
      </c>
      <c r="M771">
        <v>42896.7</v>
      </c>
      <c r="N771">
        <v>12191.89</v>
      </c>
      <c r="O771" t="s">
        <v>38</v>
      </c>
      <c r="P771" t="s">
        <v>45</v>
      </c>
      <c r="Q771" t="s">
        <v>29</v>
      </c>
      <c r="R771" t="s">
        <v>633</v>
      </c>
      <c r="S771">
        <v>10</v>
      </c>
      <c r="T771" t="s">
        <v>634</v>
      </c>
      <c r="U771">
        <v>0.221314250373807</v>
      </c>
    </row>
    <row r="772" spans="1:21">
      <c r="A772">
        <v>545</v>
      </c>
      <c r="B772" s="1">
        <v>45942</v>
      </c>
      <c r="C772" t="s">
        <v>121</v>
      </c>
      <c r="D772" t="s">
        <v>448</v>
      </c>
      <c r="E772" t="s">
        <v>54</v>
      </c>
      <c r="F772" t="s">
        <v>127</v>
      </c>
      <c r="G772" t="s">
        <v>99</v>
      </c>
      <c r="H772" t="s">
        <v>26</v>
      </c>
      <c r="I772">
        <v>2</v>
      </c>
      <c r="J772">
        <v>29526.59</v>
      </c>
      <c r="K772">
        <v>0.1</v>
      </c>
      <c r="L772">
        <v>53147.86</v>
      </c>
      <c r="M772">
        <v>49587.14</v>
      </c>
      <c r="N772">
        <v>3560.72</v>
      </c>
      <c r="O772" t="s">
        <v>27</v>
      </c>
      <c r="P772" t="s">
        <v>71</v>
      </c>
      <c r="Q772" t="s">
        <v>40</v>
      </c>
      <c r="R772" t="s">
        <v>633</v>
      </c>
      <c r="S772">
        <v>10</v>
      </c>
      <c r="T772" t="s">
        <v>634</v>
      </c>
      <c r="U772">
        <v>6.6996488663889756E-2</v>
      </c>
    </row>
    <row r="773" spans="1:21">
      <c r="A773">
        <v>89</v>
      </c>
      <c r="B773" s="1">
        <v>45943</v>
      </c>
      <c r="C773" t="s">
        <v>93</v>
      </c>
      <c r="D773" t="s">
        <v>266</v>
      </c>
      <c r="E773" t="s">
        <v>97</v>
      </c>
      <c r="F773" t="s">
        <v>98</v>
      </c>
      <c r="G773" t="s">
        <v>59</v>
      </c>
      <c r="H773" t="s">
        <v>37</v>
      </c>
      <c r="I773">
        <v>1</v>
      </c>
      <c r="J773">
        <v>10548.26</v>
      </c>
      <c r="K773">
        <v>0.15</v>
      </c>
      <c r="L773">
        <v>8966.02</v>
      </c>
      <c r="M773">
        <v>8253.9500000000007</v>
      </c>
      <c r="N773">
        <v>712.07</v>
      </c>
      <c r="O773" t="s">
        <v>27</v>
      </c>
      <c r="P773" t="s">
        <v>28</v>
      </c>
      <c r="Q773" t="s">
        <v>40</v>
      </c>
      <c r="R773" t="s">
        <v>633</v>
      </c>
      <c r="S773">
        <v>10</v>
      </c>
      <c r="T773" t="s">
        <v>634</v>
      </c>
      <c r="U773">
        <v>7.9418738749188603E-2</v>
      </c>
    </row>
    <row r="774" spans="1:21">
      <c r="A774">
        <v>591</v>
      </c>
      <c r="B774" s="1">
        <v>45943</v>
      </c>
      <c r="C774" t="s">
        <v>262</v>
      </c>
      <c r="D774" t="s">
        <v>147</v>
      </c>
      <c r="E774" t="s">
        <v>23</v>
      </c>
      <c r="F774" t="s">
        <v>24</v>
      </c>
      <c r="G774" t="s">
        <v>134</v>
      </c>
      <c r="H774" t="s">
        <v>26</v>
      </c>
      <c r="I774">
        <v>1</v>
      </c>
      <c r="J774">
        <v>28053.55</v>
      </c>
      <c r="K774">
        <v>0.02</v>
      </c>
      <c r="L774">
        <v>27492.48</v>
      </c>
      <c r="M774">
        <v>20152.61</v>
      </c>
      <c r="N774">
        <v>7339.87</v>
      </c>
      <c r="O774" t="s">
        <v>27</v>
      </c>
      <c r="P774" t="s">
        <v>78</v>
      </c>
      <c r="Q774" t="s">
        <v>29</v>
      </c>
      <c r="R774" t="s">
        <v>633</v>
      </c>
      <c r="S774">
        <v>10</v>
      </c>
      <c r="T774" t="s">
        <v>634</v>
      </c>
      <c r="U774">
        <v>0.26697736981167214</v>
      </c>
    </row>
    <row r="775" spans="1:21">
      <c r="A775">
        <v>422</v>
      </c>
      <c r="B775" s="1">
        <v>45944</v>
      </c>
      <c r="C775" t="s">
        <v>406</v>
      </c>
      <c r="D775" t="s">
        <v>380</v>
      </c>
      <c r="E775" t="s">
        <v>54</v>
      </c>
      <c r="F775" t="s">
        <v>55</v>
      </c>
      <c r="G775" t="s">
        <v>36</v>
      </c>
      <c r="H775" t="s">
        <v>37</v>
      </c>
      <c r="I775">
        <v>3</v>
      </c>
      <c r="J775">
        <v>7459.02</v>
      </c>
      <c r="K775">
        <v>0.05</v>
      </c>
      <c r="L775">
        <v>21258.21</v>
      </c>
      <c r="M775">
        <v>13873.96</v>
      </c>
      <c r="N775">
        <v>7384.25</v>
      </c>
      <c r="O775" t="s">
        <v>27</v>
      </c>
      <c r="P775" t="s">
        <v>71</v>
      </c>
      <c r="Q775" t="s">
        <v>46</v>
      </c>
      <c r="R775" t="s">
        <v>633</v>
      </c>
      <c r="S775">
        <v>10</v>
      </c>
      <c r="T775" t="s">
        <v>634</v>
      </c>
      <c r="U775">
        <v>0.34735991412259076</v>
      </c>
    </row>
    <row r="776" spans="1:21">
      <c r="A776">
        <v>815</v>
      </c>
      <c r="B776" s="1">
        <v>45944</v>
      </c>
      <c r="C776" t="s">
        <v>270</v>
      </c>
      <c r="D776" t="s">
        <v>274</v>
      </c>
      <c r="E776" t="s">
        <v>97</v>
      </c>
      <c r="F776" t="s">
        <v>104</v>
      </c>
      <c r="G776" t="s">
        <v>36</v>
      </c>
      <c r="H776" t="s">
        <v>37</v>
      </c>
      <c r="I776">
        <v>2</v>
      </c>
      <c r="J776">
        <v>4749.37</v>
      </c>
      <c r="K776">
        <v>0.15</v>
      </c>
      <c r="L776">
        <v>8073.93</v>
      </c>
      <c r="M776">
        <v>6117.28</v>
      </c>
      <c r="N776">
        <v>1956.65</v>
      </c>
      <c r="O776" t="s">
        <v>27</v>
      </c>
      <c r="P776" t="s">
        <v>28</v>
      </c>
      <c r="Q776" t="s">
        <v>29</v>
      </c>
      <c r="R776" t="s">
        <v>633</v>
      </c>
      <c r="S776">
        <v>10</v>
      </c>
      <c r="T776" t="s">
        <v>634</v>
      </c>
      <c r="U776">
        <v>0.24234170967546165</v>
      </c>
    </row>
    <row r="777" spans="1:21">
      <c r="A777">
        <v>368</v>
      </c>
      <c r="B777" s="1">
        <v>45944</v>
      </c>
      <c r="C777" t="s">
        <v>357</v>
      </c>
      <c r="D777" t="s">
        <v>133</v>
      </c>
      <c r="E777" t="s">
        <v>97</v>
      </c>
      <c r="F777" t="s">
        <v>148</v>
      </c>
      <c r="G777" t="s">
        <v>105</v>
      </c>
      <c r="H777" t="s">
        <v>26</v>
      </c>
      <c r="I777">
        <v>1</v>
      </c>
      <c r="J777">
        <v>7584.49</v>
      </c>
      <c r="K777">
        <v>0.1</v>
      </c>
      <c r="L777">
        <v>6826.04</v>
      </c>
      <c r="M777">
        <v>5800.35</v>
      </c>
      <c r="N777">
        <v>1025.69</v>
      </c>
      <c r="O777" t="s">
        <v>27</v>
      </c>
      <c r="P777" t="s">
        <v>28</v>
      </c>
      <c r="Q777" t="s">
        <v>46</v>
      </c>
      <c r="R777" t="s">
        <v>633</v>
      </c>
      <c r="S777">
        <v>10</v>
      </c>
      <c r="T777" t="s">
        <v>634</v>
      </c>
      <c r="U777">
        <v>0.15026135211630756</v>
      </c>
    </row>
    <row r="778" spans="1:21">
      <c r="A778">
        <v>693</v>
      </c>
      <c r="B778" s="1">
        <v>45944</v>
      </c>
      <c r="C778" t="s">
        <v>638</v>
      </c>
      <c r="D778" t="s">
        <v>409</v>
      </c>
      <c r="E778" t="s">
        <v>76</v>
      </c>
      <c r="F778" t="s">
        <v>77</v>
      </c>
      <c r="G778" t="s">
        <v>50</v>
      </c>
      <c r="H778" t="s">
        <v>51</v>
      </c>
      <c r="I778">
        <v>1</v>
      </c>
      <c r="J778">
        <v>1053.44</v>
      </c>
      <c r="K778">
        <v>0.15</v>
      </c>
      <c r="L778">
        <v>895.42</v>
      </c>
      <c r="M778">
        <v>771.8</v>
      </c>
      <c r="N778">
        <v>123.62</v>
      </c>
      <c r="O778" t="s">
        <v>27</v>
      </c>
      <c r="P778" t="s">
        <v>71</v>
      </c>
      <c r="Q778" t="s">
        <v>29</v>
      </c>
      <c r="R778" t="s">
        <v>633</v>
      </c>
      <c r="S778">
        <v>10</v>
      </c>
      <c r="T778" t="s">
        <v>634</v>
      </c>
      <c r="U778">
        <v>0.13805811797815551</v>
      </c>
    </row>
    <row r="779" spans="1:21">
      <c r="A779">
        <v>623</v>
      </c>
      <c r="B779" s="1">
        <v>45945</v>
      </c>
      <c r="C779" t="s">
        <v>398</v>
      </c>
      <c r="D779" t="s">
        <v>497</v>
      </c>
      <c r="E779" t="s">
        <v>54</v>
      </c>
      <c r="F779" t="s">
        <v>108</v>
      </c>
      <c r="G779" t="s">
        <v>36</v>
      </c>
      <c r="H779" t="s">
        <v>37</v>
      </c>
      <c r="I779">
        <v>3</v>
      </c>
      <c r="J779">
        <v>15325.2</v>
      </c>
      <c r="K779">
        <v>0.05</v>
      </c>
      <c r="L779">
        <v>43676.82</v>
      </c>
      <c r="M779">
        <v>33002.550000000003</v>
      </c>
      <c r="N779">
        <v>10674.27</v>
      </c>
      <c r="O779" t="s">
        <v>27</v>
      </c>
      <c r="P779" t="s">
        <v>28</v>
      </c>
      <c r="Q779" t="s">
        <v>46</v>
      </c>
      <c r="R779" t="s">
        <v>633</v>
      </c>
      <c r="S779">
        <v>10</v>
      </c>
      <c r="T779" t="s">
        <v>634</v>
      </c>
      <c r="U779">
        <v>0.24439210546921686</v>
      </c>
    </row>
    <row r="780" spans="1:21">
      <c r="A780">
        <v>169</v>
      </c>
      <c r="B780" s="1">
        <v>45945</v>
      </c>
      <c r="C780" t="s">
        <v>355</v>
      </c>
      <c r="D780" t="s">
        <v>290</v>
      </c>
      <c r="E780" t="s">
        <v>97</v>
      </c>
      <c r="F780" t="s">
        <v>148</v>
      </c>
      <c r="G780" t="s">
        <v>69</v>
      </c>
      <c r="H780" t="s">
        <v>70</v>
      </c>
      <c r="I780">
        <v>3</v>
      </c>
      <c r="J780">
        <v>1050.9100000000001</v>
      </c>
      <c r="K780">
        <v>0.02</v>
      </c>
      <c r="L780">
        <v>3089.68</v>
      </c>
      <c r="M780">
        <v>2600.54</v>
      </c>
      <c r="N780">
        <v>489.14</v>
      </c>
      <c r="O780" t="s">
        <v>27</v>
      </c>
      <c r="P780" t="s">
        <v>78</v>
      </c>
      <c r="Q780" t="s">
        <v>40</v>
      </c>
      <c r="R780" t="s">
        <v>633</v>
      </c>
      <c r="S780">
        <v>10</v>
      </c>
      <c r="T780" t="s">
        <v>634</v>
      </c>
      <c r="U780">
        <v>0.15831412961860128</v>
      </c>
    </row>
    <row r="781" spans="1:21">
      <c r="A781">
        <v>898</v>
      </c>
      <c r="B781" s="1">
        <v>45945</v>
      </c>
      <c r="C781" t="s">
        <v>327</v>
      </c>
      <c r="D781" t="s">
        <v>607</v>
      </c>
      <c r="E781" t="s">
        <v>54</v>
      </c>
      <c r="F781" t="s">
        <v>55</v>
      </c>
      <c r="G781" t="s">
        <v>105</v>
      </c>
      <c r="H781" t="s">
        <v>26</v>
      </c>
      <c r="I781">
        <v>3</v>
      </c>
      <c r="J781">
        <v>2810.33</v>
      </c>
      <c r="K781">
        <v>0.02</v>
      </c>
      <c r="L781">
        <v>8262.3700000000008</v>
      </c>
      <c r="M781">
        <v>6140.63</v>
      </c>
      <c r="N781">
        <v>2121.7399999999998</v>
      </c>
      <c r="O781" t="s">
        <v>27</v>
      </c>
      <c r="P781" t="s">
        <v>28</v>
      </c>
      <c r="Q781" t="s">
        <v>29</v>
      </c>
      <c r="R781" t="s">
        <v>633</v>
      </c>
      <c r="S781">
        <v>10</v>
      </c>
      <c r="T781" t="s">
        <v>634</v>
      </c>
      <c r="U781">
        <v>0.25679556834177114</v>
      </c>
    </row>
    <row r="782" spans="1:21">
      <c r="A782">
        <v>126</v>
      </c>
      <c r="B782" s="1">
        <v>45945</v>
      </c>
      <c r="C782" t="s">
        <v>270</v>
      </c>
      <c r="D782" t="s">
        <v>196</v>
      </c>
      <c r="E782" t="s">
        <v>54</v>
      </c>
      <c r="F782" t="s">
        <v>127</v>
      </c>
      <c r="G782" t="s">
        <v>105</v>
      </c>
      <c r="H782" t="s">
        <v>26</v>
      </c>
      <c r="I782">
        <v>4</v>
      </c>
      <c r="J782">
        <v>4269.43</v>
      </c>
      <c r="K782">
        <v>0.15</v>
      </c>
      <c r="L782">
        <v>14516.06</v>
      </c>
      <c r="M782">
        <v>13668.28</v>
      </c>
      <c r="N782">
        <v>847.78</v>
      </c>
      <c r="O782" t="s">
        <v>27</v>
      </c>
      <c r="P782" t="s">
        <v>78</v>
      </c>
      <c r="Q782" t="s">
        <v>40</v>
      </c>
      <c r="R782" t="s">
        <v>633</v>
      </c>
      <c r="S782">
        <v>10</v>
      </c>
      <c r="T782" t="s">
        <v>634</v>
      </c>
      <c r="U782">
        <v>5.840289996045759E-2</v>
      </c>
    </row>
    <row r="783" spans="1:21">
      <c r="A783">
        <v>69</v>
      </c>
      <c r="B783" s="1">
        <v>45946</v>
      </c>
      <c r="C783" t="s">
        <v>360</v>
      </c>
      <c r="D783" t="s">
        <v>610</v>
      </c>
      <c r="E783" t="s">
        <v>54</v>
      </c>
      <c r="F783" t="s">
        <v>108</v>
      </c>
      <c r="G783" t="s">
        <v>134</v>
      </c>
      <c r="H783" t="s">
        <v>26</v>
      </c>
      <c r="I783">
        <v>1</v>
      </c>
      <c r="J783">
        <v>27041.07</v>
      </c>
      <c r="K783">
        <v>0.15</v>
      </c>
      <c r="L783">
        <v>22984.91</v>
      </c>
      <c r="M783">
        <v>19088.04</v>
      </c>
      <c r="N783">
        <v>3896.87</v>
      </c>
      <c r="O783" t="s">
        <v>27</v>
      </c>
      <c r="P783" t="s">
        <v>78</v>
      </c>
      <c r="Q783" t="s">
        <v>40</v>
      </c>
      <c r="R783" t="s">
        <v>633</v>
      </c>
      <c r="S783">
        <v>10</v>
      </c>
      <c r="T783" t="s">
        <v>634</v>
      </c>
      <c r="U783">
        <v>0.16954036365598124</v>
      </c>
    </row>
    <row r="784" spans="1:21">
      <c r="A784">
        <v>331</v>
      </c>
      <c r="B784" s="1">
        <v>45946</v>
      </c>
      <c r="C784" t="s">
        <v>279</v>
      </c>
      <c r="D784" t="s">
        <v>418</v>
      </c>
      <c r="E784" t="s">
        <v>23</v>
      </c>
      <c r="F784" t="s">
        <v>24</v>
      </c>
      <c r="G784" t="s">
        <v>62</v>
      </c>
      <c r="H784" t="s">
        <v>63</v>
      </c>
      <c r="I784">
        <v>1</v>
      </c>
      <c r="J784">
        <v>263.01</v>
      </c>
      <c r="K784">
        <v>0.15</v>
      </c>
      <c r="L784">
        <v>223.56</v>
      </c>
      <c r="M784">
        <v>191.43</v>
      </c>
      <c r="N784">
        <v>32.130000000000003</v>
      </c>
      <c r="O784" t="s">
        <v>27</v>
      </c>
      <c r="P784" t="s">
        <v>45</v>
      </c>
      <c r="Q784" t="s">
        <v>29</v>
      </c>
      <c r="R784" t="s">
        <v>633</v>
      </c>
      <c r="S784">
        <v>10</v>
      </c>
      <c r="T784" t="s">
        <v>634</v>
      </c>
      <c r="U784">
        <v>0.14371980676328502</v>
      </c>
    </row>
    <row r="785" spans="1:21">
      <c r="A785">
        <v>132</v>
      </c>
      <c r="B785" s="1">
        <v>45946</v>
      </c>
      <c r="C785" t="s">
        <v>149</v>
      </c>
      <c r="D785" t="s">
        <v>505</v>
      </c>
      <c r="E785" t="s">
        <v>34</v>
      </c>
      <c r="F785" t="s">
        <v>49</v>
      </c>
      <c r="G785" t="s">
        <v>134</v>
      </c>
      <c r="H785" t="s">
        <v>26</v>
      </c>
      <c r="I785">
        <v>4</v>
      </c>
      <c r="J785">
        <v>35757.74</v>
      </c>
      <c r="K785">
        <v>0.05</v>
      </c>
      <c r="L785">
        <v>135879.41</v>
      </c>
      <c r="M785">
        <v>114524.22</v>
      </c>
      <c r="N785">
        <v>21355.19</v>
      </c>
      <c r="O785" t="s">
        <v>27</v>
      </c>
      <c r="P785" t="s">
        <v>39</v>
      </c>
      <c r="Q785" t="s">
        <v>29</v>
      </c>
      <c r="R785" t="s">
        <v>633</v>
      </c>
      <c r="S785">
        <v>10</v>
      </c>
      <c r="T785" t="s">
        <v>634</v>
      </c>
      <c r="U785">
        <v>0.15716281075992306</v>
      </c>
    </row>
    <row r="786" spans="1:21">
      <c r="A786">
        <v>839</v>
      </c>
      <c r="B786" s="1">
        <v>45948</v>
      </c>
      <c r="C786" t="s">
        <v>490</v>
      </c>
      <c r="D786" t="s">
        <v>455</v>
      </c>
      <c r="E786" t="s">
        <v>34</v>
      </c>
      <c r="F786" t="s">
        <v>49</v>
      </c>
      <c r="G786" t="s">
        <v>145</v>
      </c>
      <c r="H786" t="s">
        <v>70</v>
      </c>
      <c r="I786">
        <v>1</v>
      </c>
      <c r="J786">
        <v>1663.36</v>
      </c>
      <c r="K786">
        <v>0.15</v>
      </c>
      <c r="L786">
        <v>1413.86</v>
      </c>
      <c r="M786">
        <v>1320.09</v>
      </c>
      <c r="N786">
        <v>93.77</v>
      </c>
      <c r="O786" t="s">
        <v>27</v>
      </c>
      <c r="P786" t="s">
        <v>45</v>
      </c>
      <c r="Q786" t="s">
        <v>29</v>
      </c>
      <c r="R786" t="s">
        <v>633</v>
      </c>
      <c r="S786">
        <v>10</v>
      </c>
      <c r="T786" t="s">
        <v>634</v>
      </c>
      <c r="U786">
        <v>6.6321983789059735E-2</v>
      </c>
    </row>
    <row r="787" spans="1:21">
      <c r="A787">
        <v>154</v>
      </c>
      <c r="B787" s="1">
        <v>45948</v>
      </c>
      <c r="C787" t="s">
        <v>149</v>
      </c>
      <c r="D787" t="s">
        <v>505</v>
      </c>
      <c r="E787" t="s">
        <v>76</v>
      </c>
      <c r="F787" t="s">
        <v>81</v>
      </c>
      <c r="G787" t="s">
        <v>62</v>
      </c>
      <c r="H787" t="s">
        <v>63</v>
      </c>
      <c r="I787">
        <v>1</v>
      </c>
      <c r="J787">
        <v>255.52</v>
      </c>
      <c r="K787">
        <v>0</v>
      </c>
      <c r="L787">
        <v>255.52</v>
      </c>
      <c r="M787">
        <v>194.68</v>
      </c>
      <c r="N787">
        <v>60.84</v>
      </c>
      <c r="O787" t="s">
        <v>38</v>
      </c>
      <c r="P787" t="s">
        <v>45</v>
      </c>
      <c r="Q787" t="s">
        <v>40</v>
      </c>
      <c r="R787" t="s">
        <v>633</v>
      </c>
      <c r="S787">
        <v>10</v>
      </c>
      <c r="T787" t="s">
        <v>634</v>
      </c>
      <c r="U787">
        <v>0.23810269254852851</v>
      </c>
    </row>
    <row r="788" spans="1:21">
      <c r="A788">
        <v>740</v>
      </c>
      <c r="B788" s="1">
        <v>45949</v>
      </c>
      <c r="C788" t="s">
        <v>544</v>
      </c>
      <c r="D788" t="s">
        <v>150</v>
      </c>
      <c r="E788" t="s">
        <v>23</v>
      </c>
      <c r="F788" t="s">
        <v>24</v>
      </c>
      <c r="G788" t="s">
        <v>99</v>
      </c>
      <c r="H788" t="s">
        <v>26</v>
      </c>
      <c r="I788">
        <v>4</v>
      </c>
      <c r="J788">
        <v>19182.03</v>
      </c>
      <c r="K788">
        <v>0.02</v>
      </c>
      <c r="L788">
        <v>75193.56</v>
      </c>
      <c r="M788">
        <v>53969.42</v>
      </c>
      <c r="N788">
        <v>21224.14</v>
      </c>
      <c r="O788" t="s">
        <v>27</v>
      </c>
      <c r="P788" t="s">
        <v>45</v>
      </c>
      <c r="Q788" t="s">
        <v>40</v>
      </c>
      <c r="R788" t="s">
        <v>633</v>
      </c>
      <c r="S788">
        <v>10</v>
      </c>
      <c r="T788" t="s">
        <v>634</v>
      </c>
      <c r="U788">
        <v>0.28226007652783031</v>
      </c>
    </row>
    <row r="789" spans="1:21">
      <c r="A789">
        <v>747</v>
      </c>
      <c r="B789" s="1">
        <v>45949</v>
      </c>
      <c r="C789" t="s">
        <v>265</v>
      </c>
      <c r="D789" t="s">
        <v>428</v>
      </c>
      <c r="E789" t="s">
        <v>54</v>
      </c>
      <c r="F789" t="s">
        <v>55</v>
      </c>
      <c r="G789" t="s">
        <v>99</v>
      </c>
      <c r="H789" t="s">
        <v>26</v>
      </c>
      <c r="I789">
        <v>4</v>
      </c>
      <c r="J789">
        <v>22738.95</v>
      </c>
      <c r="K789">
        <v>0.05</v>
      </c>
      <c r="L789">
        <v>86408.01</v>
      </c>
      <c r="M789">
        <v>78717.759999999995</v>
      </c>
      <c r="N789">
        <v>7690.25</v>
      </c>
      <c r="O789" t="s">
        <v>38</v>
      </c>
      <c r="P789" t="s">
        <v>39</v>
      </c>
      <c r="Q789" t="s">
        <v>40</v>
      </c>
      <c r="R789" t="s">
        <v>633</v>
      </c>
      <c r="S789">
        <v>10</v>
      </c>
      <c r="T789" t="s">
        <v>634</v>
      </c>
      <c r="U789">
        <v>8.899927217395702E-2</v>
      </c>
    </row>
    <row r="790" spans="1:21">
      <c r="A790">
        <v>529</v>
      </c>
      <c r="B790" s="1">
        <v>45949</v>
      </c>
      <c r="C790" t="s">
        <v>599</v>
      </c>
      <c r="D790" t="s">
        <v>179</v>
      </c>
      <c r="E790" t="s">
        <v>23</v>
      </c>
      <c r="F790" t="s">
        <v>24</v>
      </c>
      <c r="G790" t="s">
        <v>62</v>
      </c>
      <c r="H790" t="s">
        <v>63</v>
      </c>
      <c r="I790">
        <v>4</v>
      </c>
      <c r="J790">
        <v>385.46</v>
      </c>
      <c r="K790">
        <v>0.02</v>
      </c>
      <c r="L790">
        <v>1511</v>
      </c>
      <c r="M790">
        <v>974.78</v>
      </c>
      <c r="N790">
        <v>536.22</v>
      </c>
      <c r="O790" t="s">
        <v>27</v>
      </c>
      <c r="P790" t="s">
        <v>45</v>
      </c>
      <c r="Q790" t="s">
        <v>29</v>
      </c>
      <c r="R790" t="s">
        <v>633</v>
      </c>
      <c r="S790">
        <v>10</v>
      </c>
      <c r="T790" t="s">
        <v>634</v>
      </c>
      <c r="U790">
        <v>0.35487756452680347</v>
      </c>
    </row>
    <row r="791" spans="1:21">
      <c r="A791">
        <v>112</v>
      </c>
      <c r="B791" s="1">
        <v>45950</v>
      </c>
      <c r="C791" t="s">
        <v>156</v>
      </c>
      <c r="D791" t="s">
        <v>607</v>
      </c>
      <c r="E791" t="s">
        <v>97</v>
      </c>
      <c r="F791" t="s">
        <v>104</v>
      </c>
      <c r="G791" t="s">
        <v>44</v>
      </c>
      <c r="H791" t="s">
        <v>26</v>
      </c>
      <c r="I791">
        <v>2</v>
      </c>
      <c r="J791">
        <v>62832.6</v>
      </c>
      <c r="K791">
        <v>0.1</v>
      </c>
      <c r="L791">
        <v>113098.68</v>
      </c>
      <c r="M791">
        <v>109161.35</v>
      </c>
      <c r="N791">
        <v>3937.33</v>
      </c>
      <c r="O791" t="s">
        <v>38</v>
      </c>
      <c r="P791" t="s">
        <v>39</v>
      </c>
      <c r="Q791" t="s">
        <v>40</v>
      </c>
      <c r="R791" t="s">
        <v>633</v>
      </c>
      <c r="S791">
        <v>10</v>
      </c>
      <c r="T791" t="s">
        <v>634</v>
      </c>
      <c r="U791">
        <v>3.4813226821038053E-2</v>
      </c>
    </row>
    <row r="792" spans="1:21">
      <c r="A792">
        <v>780</v>
      </c>
      <c r="B792" s="1">
        <v>45950</v>
      </c>
      <c r="C792" t="s">
        <v>482</v>
      </c>
      <c r="D792" t="s">
        <v>375</v>
      </c>
      <c r="E792" t="s">
        <v>97</v>
      </c>
      <c r="F792" t="s">
        <v>148</v>
      </c>
      <c r="G792" t="s">
        <v>25</v>
      </c>
      <c r="H792" t="s">
        <v>26</v>
      </c>
      <c r="I792">
        <v>1</v>
      </c>
      <c r="J792">
        <v>16739.54</v>
      </c>
      <c r="K792">
        <v>0.15</v>
      </c>
      <c r="L792">
        <v>14228.61</v>
      </c>
      <c r="M792">
        <v>13393.78</v>
      </c>
      <c r="N792">
        <v>834.83</v>
      </c>
      <c r="O792" t="s">
        <v>27</v>
      </c>
      <c r="P792" t="s">
        <v>71</v>
      </c>
      <c r="Q792" t="s">
        <v>46</v>
      </c>
      <c r="R792" t="s">
        <v>633</v>
      </c>
      <c r="S792">
        <v>10</v>
      </c>
      <c r="T792" t="s">
        <v>634</v>
      </c>
      <c r="U792">
        <v>5.8672632112342665E-2</v>
      </c>
    </row>
    <row r="793" spans="1:21">
      <c r="A793">
        <v>577</v>
      </c>
      <c r="B793" s="1">
        <v>45950</v>
      </c>
      <c r="C793" t="s">
        <v>349</v>
      </c>
      <c r="D793" t="s">
        <v>639</v>
      </c>
      <c r="E793" t="s">
        <v>76</v>
      </c>
      <c r="F793" t="s">
        <v>77</v>
      </c>
      <c r="G793" t="s">
        <v>66</v>
      </c>
      <c r="H793" t="s">
        <v>51</v>
      </c>
      <c r="I793">
        <v>4</v>
      </c>
      <c r="J793">
        <v>2728.52</v>
      </c>
      <c r="K793">
        <v>0.02</v>
      </c>
      <c r="L793">
        <v>10695.8</v>
      </c>
      <c r="M793">
        <v>6926.25</v>
      </c>
      <c r="N793">
        <v>3769.55</v>
      </c>
      <c r="O793" t="s">
        <v>27</v>
      </c>
      <c r="P793" t="s">
        <v>78</v>
      </c>
      <c r="Q793" t="s">
        <v>29</v>
      </c>
      <c r="R793" t="s">
        <v>633</v>
      </c>
      <c r="S793">
        <v>10</v>
      </c>
      <c r="T793" t="s">
        <v>634</v>
      </c>
      <c r="U793">
        <v>0.35243273060453639</v>
      </c>
    </row>
    <row r="794" spans="1:21">
      <c r="A794">
        <v>607</v>
      </c>
      <c r="B794" s="1">
        <v>45951</v>
      </c>
      <c r="C794" t="s">
        <v>640</v>
      </c>
      <c r="D794" t="s">
        <v>171</v>
      </c>
      <c r="E794" t="s">
        <v>23</v>
      </c>
      <c r="F794" t="s">
        <v>24</v>
      </c>
      <c r="G794" t="s">
        <v>25</v>
      </c>
      <c r="H794" t="s">
        <v>26</v>
      </c>
      <c r="I794">
        <v>2</v>
      </c>
      <c r="J794">
        <v>6504.21</v>
      </c>
      <c r="K794">
        <v>0.05</v>
      </c>
      <c r="L794">
        <v>12358</v>
      </c>
      <c r="M794">
        <v>10206.43</v>
      </c>
      <c r="N794">
        <v>2151.5700000000002</v>
      </c>
      <c r="O794" t="s">
        <v>38</v>
      </c>
      <c r="P794" t="s">
        <v>28</v>
      </c>
      <c r="Q794" t="s">
        <v>29</v>
      </c>
      <c r="R794" t="s">
        <v>633</v>
      </c>
      <c r="S794">
        <v>10</v>
      </c>
      <c r="T794" t="s">
        <v>634</v>
      </c>
      <c r="U794">
        <v>0.17410341479203756</v>
      </c>
    </row>
    <row r="795" spans="1:21">
      <c r="A795">
        <v>86</v>
      </c>
      <c r="B795" s="1">
        <v>45951</v>
      </c>
      <c r="C795" t="s">
        <v>67</v>
      </c>
      <c r="D795" t="s">
        <v>428</v>
      </c>
      <c r="E795" t="s">
        <v>76</v>
      </c>
      <c r="F795" t="s">
        <v>77</v>
      </c>
      <c r="G795" t="s">
        <v>25</v>
      </c>
      <c r="H795" t="s">
        <v>26</v>
      </c>
      <c r="I795">
        <v>2</v>
      </c>
      <c r="J795">
        <v>7828.28</v>
      </c>
      <c r="K795">
        <v>0</v>
      </c>
      <c r="L795">
        <v>15656.56</v>
      </c>
      <c r="M795">
        <v>13222.2</v>
      </c>
      <c r="N795">
        <v>2434.36</v>
      </c>
      <c r="O795" t="s">
        <v>27</v>
      </c>
      <c r="P795" t="s">
        <v>39</v>
      </c>
      <c r="Q795" t="s">
        <v>46</v>
      </c>
      <c r="R795" t="s">
        <v>633</v>
      </c>
      <c r="S795">
        <v>10</v>
      </c>
      <c r="T795" t="s">
        <v>634</v>
      </c>
      <c r="U795">
        <v>0.15548498520747853</v>
      </c>
    </row>
    <row r="796" spans="1:21">
      <c r="A796">
        <v>909</v>
      </c>
      <c r="B796" s="1">
        <v>45951</v>
      </c>
      <c r="C796" t="s">
        <v>251</v>
      </c>
      <c r="D796" t="s">
        <v>641</v>
      </c>
      <c r="E796" t="s">
        <v>54</v>
      </c>
      <c r="F796" t="s">
        <v>55</v>
      </c>
      <c r="G796" t="s">
        <v>62</v>
      </c>
      <c r="H796" t="s">
        <v>63</v>
      </c>
      <c r="I796">
        <v>4</v>
      </c>
      <c r="J796">
        <v>214.68</v>
      </c>
      <c r="K796">
        <v>0.02</v>
      </c>
      <c r="L796">
        <v>841.55</v>
      </c>
      <c r="M796">
        <v>556.36</v>
      </c>
      <c r="N796">
        <v>285.19</v>
      </c>
      <c r="O796" t="s">
        <v>27</v>
      </c>
      <c r="P796" t="s">
        <v>71</v>
      </c>
      <c r="Q796" t="s">
        <v>29</v>
      </c>
      <c r="R796" t="s">
        <v>633</v>
      </c>
      <c r="S796">
        <v>10</v>
      </c>
      <c r="T796" t="s">
        <v>634</v>
      </c>
      <c r="U796">
        <v>0.33888657833759134</v>
      </c>
    </row>
    <row r="797" spans="1:21">
      <c r="A797">
        <v>66</v>
      </c>
      <c r="B797" s="1">
        <v>45951</v>
      </c>
      <c r="C797" t="s">
        <v>475</v>
      </c>
      <c r="D797" t="s">
        <v>250</v>
      </c>
      <c r="E797" t="s">
        <v>23</v>
      </c>
      <c r="F797" t="s">
        <v>43</v>
      </c>
      <c r="G797" t="s">
        <v>59</v>
      </c>
      <c r="H797" t="s">
        <v>37</v>
      </c>
      <c r="I797">
        <v>4</v>
      </c>
      <c r="J797">
        <v>11651.81</v>
      </c>
      <c r="K797">
        <v>0.1</v>
      </c>
      <c r="L797">
        <v>41946.52</v>
      </c>
      <c r="M797">
        <v>30195.19</v>
      </c>
      <c r="N797">
        <v>11751.33</v>
      </c>
      <c r="O797" t="s">
        <v>27</v>
      </c>
      <c r="P797" t="s">
        <v>28</v>
      </c>
      <c r="Q797" t="s">
        <v>46</v>
      </c>
      <c r="R797" t="s">
        <v>633</v>
      </c>
      <c r="S797">
        <v>10</v>
      </c>
      <c r="T797" t="s">
        <v>634</v>
      </c>
      <c r="U797">
        <v>0.28015029613898845</v>
      </c>
    </row>
    <row r="798" spans="1:21">
      <c r="A798">
        <v>266</v>
      </c>
      <c r="B798" s="1">
        <v>45951</v>
      </c>
      <c r="C798" t="s">
        <v>144</v>
      </c>
      <c r="D798" t="s">
        <v>441</v>
      </c>
      <c r="E798" t="s">
        <v>97</v>
      </c>
      <c r="F798" t="s">
        <v>104</v>
      </c>
      <c r="G798" t="s">
        <v>44</v>
      </c>
      <c r="H798" t="s">
        <v>26</v>
      </c>
      <c r="I798">
        <v>1</v>
      </c>
      <c r="J798">
        <v>65222.58</v>
      </c>
      <c r="K798">
        <v>0.02</v>
      </c>
      <c r="L798">
        <v>63918.13</v>
      </c>
      <c r="M798">
        <v>45121.25</v>
      </c>
      <c r="N798">
        <v>18796.88</v>
      </c>
      <c r="O798" t="s">
        <v>27</v>
      </c>
      <c r="P798" t="s">
        <v>28</v>
      </c>
      <c r="Q798" t="s">
        <v>40</v>
      </c>
      <c r="R798" t="s">
        <v>633</v>
      </c>
      <c r="S798">
        <v>10</v>
      </c>
      <c r="T798" t="s">
        <v>634</v>
      </c>
      <c r="U798">
        <v>0.29407743937439973</v>
      </c>
    </row>
    <row r="799" spans="1:21">
      <c r="A799">
        <v>514</v>
      </c>
      <c r="B799" s="1">
        <v>45951</v>
      </c>
      <c r="C799" t="s">
        <v>56</v>
      </c>
      <c r="D799" t="s">
        <v>337</v>
      </c>
      <c r="E799" t="s">
        <v>76</v>
      </c>
      <c r="F799" t="s">
        <v>77</v>
      </c>
      <c r="G799" t="s">
        <v>59</v>
      </c>
      <c r="H799" t="s">
        <v>37</v>
      </c>
      <c r="I799">
        <v>4</v>
      </c>
      <c r="J799">
        <v>16614.259999999998</v>
      </c>
      <c r="K799">
        <v>0</v>
      </c>
      <c r="L799">
        <v>66457.039999999994</v>
      </c>
      <c r="M799">
        <v>46868.82</v>
      </c>
      <c r="N799">
        <v>19588.22</v>
      </c>
      <c r="O799" t="s">
        <v>27</v>
      </c>
      <c r="P799" t="s">
        <v>78</v>
      </c>
      <c r="Q799" t="s">
        <v>40</v>
      </c>
      <c r="R799" t="s">
        <v>633</v>
      </c>
      <c r="S799">
        <v>10</v>
      </c>
      <c r="T799" t="s">
        <v>634</v>
      </c>
      <c r="U799">
        <v>0.29475011225296827</v>
      </c>
    </row>
    <row r="800" spans="1:21">
      <c r="A800">
        <v>820</v>
      </c>
      <c r="B800" s="1">
        <v>45952</v>
      </c>
      <c r="C800" t="s">
        <v>140</v>
      </c>
      <c r="D800" t="s">
        <v>641</v>
      </c>
      <c r="E800" t="s">
        <v>76</v>
      </c>
      <c r="F800" t="s">
        <v>113</v>
      </c>
      <c r="G800" t="s">
        <v>105</v>
      </c>
      <c r="H800" t="s">
        <v>26</v>
      </c>
      <c r="I800">
        <v>2</v>
      </c>
      <c r="J800">
        <v>3486.93</v>
      </c>
      <c r="K800">
        <v>0.15</v>
      </c>
      <c r="L800">
        <v>5927.78</v>
      </c>
      <c r="M800">
        <v>5195.3100000000004</v>
      </c>
      <c r="N800">
        <v>732.47</v>
      </c>
      <c r="O800" t="s">
        <v>27</v>
      </c>
      <c r="P800" t="s">
        <v>39</v>
      </c>
      <c r="Q800" t="s">
        <v>29</v>
      </c>
      <c r="R800" t="s">
        <v>633</v>
      </c>
      <c r="S800">
        <v>10</v>
      </c>
      <c r="T800" t="s">
        <v>634</v>
      </c>
      <c r="U800">
        <v>0.12356565189666284</v>
      </c>
    </row>
    <row r="801" spans="1:21">
      <c r="A801">
        <v>680</v>
      </c>
      <c r="B801" s="1">
        <v>45952</v>
      </c>
      <c r="C801" t="s">
        <v>479</v>
      </c>
      <c r="D801" t="s">
        <v>642</v>
      </c>
      <c r="E801" t="s">
        <v>23</v>
      </c>
      <c r="F801" t="s">
        <v>43</v>
      </c>
      <c r="G801" t="s">
        <v>105</v>
      </c>
      <c r="H801" t="s">
        <v>26</v>
      </c>
      <c r="I801">
        <v>2</v>
      </c>
      <c r="J801">
        <v>3303.71</v>
      </c>
      <c r="K801">
        <v>0</v>
      </c>
      <c r="L801">
        <v>6607.42</v>
      </c>
      <c r="M801">
        <v>4124.3</v>
      </c>
      <c r="N801">
        <v>2483.12</v>
      </c>
      <c r="O801" t="s">
        <v>38</v>
      </c>
      <c r="P801" t="s">
        <v>39</v>
      </c>
      <c r="Q801" t="s">
        <v>40</v>
      </c>
      <c r="R801" t="s">
        <v>633</v>
      </c>
      <c r="S801">
        <v>10</v>
      </c>
      <c r="T801" t="s">
        <v>634</v>
      </c>
      <c r="U801">
        <v>0.37580780395373686</v>
      </c>
    </row>
    <row r="802" spans="1:21">
      <c r="A802">
        <v>203</v>
      </c>
      <c r="B802" s="1">
        <v>45952</v>
      </c>
      <c r="C802" t="s">
        <v>331</v>
      </c>
      <c r="D802" t="s">
        <v>65</v>
      </c>
      <c r="E802" t="s">
        <v>76</v>
      </c>
      <c r="F802" t="s">
        <v>77</v>
      </c>
      <c r="G802" t="s">
        <v>69</v>
      </c>
      <c r="H802" t="s">
        <v>70</v>
      </c>
      <c r="I802">
        <v>1</v>
      </c>
      <c r="J802">
        <v>2706.25</v>
      </c>
      <c r="K802">
        <v>0.1</v>
      </c>
      <c r="L802">
        <v>2435.62</v>
      </c>
      <c r="M802">
        <v>1712.95</v>
      </c>
      <c r="N802">
        <v>722.67</v>
      </c>
      <c r="O802" t="s">
        <v>38</v>
      </c>
      <c r="P802" t="s">
        <v>78</v>
      </c>
      <c r="Q802" t="s">
        <v>40</v>
      </c>
      <c r="R802" t="s">
        <v>633</v>
      </c>
      <c r="S802">
        <v>10</v>
      </c>
      <c r="T802" t="s">
        <v>634</v>
      </c>
      <c r="U802">
        <v>0.29670884620753646</v>
      </c>
    </row>
    <row r="803" spans="1:21">
      <c r="A803">
        <v>982</v>
      </c>
      <c r="B803" s="1">
        <v>45952</v>
      </c>
      <c r="C803" t="s">
        <v>485</v>
      </c>
      <c r="D803" t="s">
        <v>430</v>
      </c>
      <c r="E803" t="s">
        <v>34</v>
      </c>
      <c r="F803" t="s">
        <v>35</v>
      </c>
      <c r="G803" t="s">
        <v>69</v>
      </c>
      <c r="H803" t="s">
        <v>70</v>
      </c>
      <c r="I803">
        <v>4</v>
      </c>
      <c r="J803">
        <v>3288.83</v>
      </c>
      <c r="K803">
        <v>0.02</v>
      </c>
      <c r="L803">
        <v>12892.21</v>
      </c>
      <c r="M803">
        <v>11241.9</v>
      </c>
      <c r="N803">
        <v>1650.31</v>
      </c>
      <c r="O803" t="s">
        <v>38</v>
      </c>
      <c r="P803" t="s">
        <v>45</v>
      </c>
      <c r="Q803" t="s">
        <v>46</v>
      </c>
      <c r="R803" t="s">
        <v>633</v>
      </c>
      <c r="S803">
        <v>10</v>
      </c>
      <c r="T803" t="s">
        <v>634</v>
      </c>
      <c r="U803">
        <v>0.12800830889351011</v>
      </c>
    </row>
    <row r="804" spans="1:21">
      <c r="A804">
        <v>356</v>
      </c>
      <c r="B804" s="1">
        <v>45953</v>
      </c>
      <c r="C804" t="s">
        <v>144</v>
      </c>
      <c r="D804" t="s">
        <v>33</v>
      </c>
      <c r="E804" t="s">
        <v>34</v>
      </c>
      <c r="F804" t="s">
        <v>35</v>
      </c>
      <c r="G804" t="s">
        <v>36</v>
      </c>
      <c r="H804" t="s">
        <v>37</v>
      </c>
      <c r="I804">
        <v>1</v>
      </c>
      <c r="J804">
        <v>5138.8999999999996</v>
      </c>
      <c r="K804">
        <v>0.1</v>
      </c>
      <c r="L804">
        <v>4625.01</v>
      </c>
      <c r="M804">
        <v>3228.53</v>
      </c>
      <c r="N804">
        <v>1396.48</v>
      </c>
      <c r="O804" t="s">
        <v>27</v>
      </c>
      <c r="P804" t="s">
        <v>78</v>
      </c>
      <c r="Q804" t="s">
        <v>46</v>
      </c>
      <c r="R804" t="s">
        <v>633</v>
      </c>
      <c r="S804">
        <v>10</v>
      </c>
      <c r="T804" t="s">
        <v>634</v>
      </c>
      <c r="U804">
        <v>0.30194096877628374</v>
      </c>
    </row>
    <row r="805" spans="1:21">
      <c r="A805">
        <v>360</v>
      </c>
      <c r="B805" s="1">
        <v>45953</v>
      </c>
      <c r="C805" t="s">
        <v>377</v>
      </c>
      <c r="D805" t="s">
        <v>75</v>
      </c>
      <c r="E805" t="s">
        <v>34</v>
      </c>
      <c r="F805" t="s">
        <v>35</v>
      </c>
      <c r="G805" t="s">
        <v>69</v>
      </c>
      <c r="H805" t="s">
        <v>70</v>
      </c>
      <c r="I805">
        <v>2</v>
      </c>
      <c r="J805">
        <v>2230.6799999999998</v>
      </c>
      <c r="K805">
        <v>0</v>
      </c>
      <c r="L805">
        <v>4461.3599999999997</v>
      </c>
      <c r="M805">
        <v>3888.6</v>
      </c>
      <c r="N805">
        <v>572.76</v>
      </c>
      <c r="O805" t="s">
        <v>38</v>
      </c>
      <c r="P805" t="s">
        <v>39</v>
      </c>
      <c r="Q805" t="s">
        <v>40</v>
      </c>
      <c r="R805" t="s">
        <v>633</v>
      </c>
      <c r="S805">
        <v>10</v>
      </c>
      <c r="T805" t="s">
        <v>634</v>
      </c>
      <c r="U805">
        <v>0.12838237667437732</v>
      </c>
    </row>
    <row r="806" spans="1:21">
      <c r="A806">
        <v>413</v>
      </c>
      <c r="B806" s="1">
        <v>45953</v>
      </c>
      <c r="C806" t="s">
        <v>338</v>
      </c>
      <c r="D806" t="s">
        <v>418</v>
      </c>
      <c r="E806" t="s">
        <v>54</v>
      </c>
      <c r="F806" t="s">
        <v>127</v>
      </c>
      <c r="G806" t="s">
        <v>66</v>
      </c>
      <c r="H806" t="s">
        <v>51</v>
      </c>
      <c r="I806">
        <v>1</v>
      </c>
      <c r="J806">
        <v>2957.81</v>
      </c>
      <c r="K806">
        <v>0.1</v>
      </c>
      <c r="L806">
        <v>2662.03</v>
      </c>
      <c r="M806">
        <v>1912.93</v>
      </c>
      <c r="N806">
        <v>749.1</v>
      </c>
      <c r="O806" t="s">
        <v>27</v>
      </c>
      <c r="P806" t="s">
        <v>39</v>
      </c>
      <c r="Q806" t="s">
        <v>40</v>
      </c>
      <c r="R806" t="s">
        <v>633</v>
      </c>
      <c r="S806">
        <v>10</v>
      </c>
      <c r="T806" t="s">
        <v>634</v>
      </c>
      <c r="U806">
        <v>0.28140178735776833</v>
      </c>
    </row>
    <row r="807" spans="1:21">
      <c r="A807">
        <v>964</v>
      </c>
      <c r="B807" s="1">
        <v>45953</v>
      </c>
      <c r="C807" t="s">
        <v>286</v>
      </c>
      <c r="D807" t="s">
        <v>176</v>
      </c>
      <c r="E807" t="s">
        <v>76</v>
      </c>
      <c r="F807" t="s">
        <v>81</v>
      </c>
      <c r="G807" t="s">
        <v>145</v>
      </c>
      <c r="H807" t="s">
        <v>70</v>
      </c>
      <c r="I807">
        <v>1</v>
      </c>
      <c r="J807">
        <v>1560.38</v>
      </c>
      <c r="K807">
        <v>0.1</v>
      </c>
      <c r="L807">
        <v>1404.34</v>
      </c>
      <c r="M807">
        <v>1007.89</v>
      </c>
      <c r="N807">
        <v>396.45</v>
      </c>
      <c r="O807" t="s">
        <v>38</v>
      </c>
      <c r="P807" t="s">
        <v>71</v>
      </c>
      <c r="Q807" t="s">
        <v>40</v>
      </c>
      <c r="R807" t="s">
        <v>633</v>
      </c>
      <c r="S807">
        <v>10</v>
      </c>
      <c r="T807" t="s">
        <v>634</v>
      </c>
      <c r="U807">
        <v>0.28230343079311276</v>
      </c>
    </row>
    <row r="808" spans="1:21">
      <c r="A808">
        <v>782</v>
      </c>
      <c r="B808" s="1">
        <v>45953</v>
      </c>
      <c r="C808" t="s">
        <v>572</v>
      </c>
      <c r="D808" t="s">
        <v>465</v>
      </c>
      <c r="E808" t="s">
        <v>23</v>
      </c>
      <c r="F808" t="s">
        <v>58</v>
      </c>
      <c r="G808" t="s">
        <v>59</v>
      </c>
      <c r="H808" t="s">
        <v>37</v>
      </c>
      <c r="I808">
        <v>1</v>
      </c>
      <c r="J808">
        <v>8539.7099999999991</v>
      </c>
      <c r="K808">
        <v>0</v>
      </c>
      <c r="L808">
        <v>8539.7099999999991</v>
      </c>
      <c r="M808">
        <v>6673.04</v>
      </c>
      <c r="N808">
        <v>1866.67</v>
      </c>
      <c r="O808" t="s">
        <v>38</v>
      </c>
      <c r="P808" t="s">
        <v>78</v>
      </c>
      <c r="Q808" t="s">
        <v>46</v>
      </c>
      <c r="R808" t="s">
        <v>633</v>
      </c>
      <c r="S808">
        <v>10</v>
      </c>
      <c r="T808" t="s">
        <v>634</v>
      </c>
      <c r="U808">
        <v>0.21858704803793105</v>
      </c>
    </row>
    <row r="809" spans="1:21">
      <c r="A809">
        <v>84</v>
      </c>
      <c r="B809" s="1">
        <v>45954</v>
      </c>
      <c r="C809" t="s">
        <v>123</v>
      </c>
      <c r="D809" t="s">
        <v>505</v>
      </c>
      <c r="E809" t="s">
        <v>54</v>
      </c>
      <c r="F809" t="s">
        <v>55</v>
      </c>
      <c r="G809" t="s">
        <v>66</v>
      </c>
      <c r="H809" t="s">
        <v>51</v>
      </c>
      <c r="I809">
        <v>1</v>
      </c>
      <c r="J809">
        <v>1079.2</v>
      </c>
      <c r="K809">
        <v>0.15</v>
      </c>
      <c r="L809">
        <v>917.32</v>
      </c>
      <c r="M809">
        <v>698.35</v>
      </c>
      <c r="N809">
        <v>218.97</v>
      </c>
      <c r="O809" t="s">
        <v>38</v>
      </c>
      <c r="P809" t="s">
        <v>28</v>
      </c>
      <c r="Q809" t="s">
        <v>40</v>
      </c>
      <c r="R809" t="s">
        <v>633</v>
      </c>
      <c r="S809">
        <v>10</v>
      </c>
      <c r="T809" t="s">
        <v>634</v>
      </c>
      <c r="U809">
        <v>0.23870623119522086</v>
      </c>
    </row>
    <row r="810" spans="1:21">
      <c r="A810">
        <v>537</v>
      </c>
      <c r="B810" s="1">
        <v>45954</v>
      </c>
      <c r="C810" t="s">
        <v>546</v>
      </c>
      <c r="D810" t="s">
        <v>409</v>
      </c>
      <c r="E810" t="s">
        <v>54</v>
      </c>
      <c r="F810" t="s">
        <v>55</v>
      </c>
      <c r="G810" t="s">
        <v>134</v>
      </c>
      <c r="H810" t="s">
        <v>26</v>
      </c>
      <c r="I810">
        <v>4</v>
      </c>
      <c r="J810">
        <v>48360.15</v>
      </c>
      <c r="K810">
        <v>0.02</v>
      </c>
      <c r="L810">
        <v>189571.79</v>
      </c>
      <c r="M810">
        <v>142904.23000000001</v>
      </c>
      <c r="N810">
        <v>46667.56</v>
      </c>
      <c r="O810" t="s">
        <v>27</v>
      </c>
      <c r="P810" t="s">
        <v>39</v>
      </c>
      <c r="Q810" t="s">
        <v>46</v>
      </c>
      <c r="R810" t="s">
        <v>633</v>
      </c>
      <c r="S810">
        <v>10</v>
      </c>
      <c r="T810" t="s">
        <v>634</v>
      </c>
      <c r="U810">
        <v>0.24617354723506063</v>
      </c>
    </row>
    <row r="811" spans="1:21">
      <c r="A811">
        <v>214</v>
      </c>
      <c r="B811" s="1">
        <v>45954</v>
      </c>
      <c r="C811" t="s">
        <v>303</v>
      </c>
      <c r="D811" t="s">
        <v>536</v>
      </c>
      <c r="E811" t="s">
        <v>34</v>
      </c>
      <c r="F811" t="s">
        <v>35</v>
      </c>
      <c r="G811" t="s">
        <v>105</v>
      </c>
      <c r="H811" t="s">
        <v>26</v>
      </c>
      <c r="I811">
        <v>1</v>
      </c>
      <c r="J811">
        <v>4199.29</v>
      </c>
      <c r="K811">
        <v>0.1</v>
      </c>
      <c r="L811">
        <v>3779.36</v>
      </c>
      <c r="M811">
        <v>3174.94</v>
      </c>
      <c r="N811">
        <v>604.41999999999996</v>
      </c>
      <c r="O811" t="s">
        <v>27</v>
      </c>
      <c r="P811" t="s">
        <v>28</v>
      </c>
      <c r="Q811" t="s">
        <v>46</v>
      </c>
      <c r="R811" t="s">
        <v>633</v>
      </c>
      <c r="S811">
        <v>10</v>
      </c>
      <c r="T811" t="s">
        <v>634</v>
      </c>
      <c r="U811">
        <v>0.15992654841031284</v>
      </c>
    </row>
    <row r="812" spans="1:21">
      <c r="A812">
        <v>402</v>
      </c>
      <c r="B812" s="1">
        <v>45955</v>
      </c>
      <c r="C812" t="s">
        <v>615</v>
      </c>
      <c r="D812" t="s">
        <v>290</v>
      </c>
      <c r="E812" t="s">
        <v>76</v>
      </c>
      <c r="F812" t="s">
        <v>77</v>
      </c>
      <c r="G812" t="s">
        <v>59</v>
      </c>
      <c r="H812" t="s">
        <v>37</v>
      </c>
      <c r="I812">
        <v>3</v>
      </c>
      <c r="J812">
        <v>6760.97</v>
      </c>
      <c r="K812">
        <v>0.02</v>
      </c>
      <c r="L812">
        <v>19877.25</v>
      </c>
      <c r="M812">
        <v>17461.16</v>
      </c>
      <c r="N812">
        <v>2416.09</v>
      </c>
      <c r="O812" t="s">
        <v>38</v>
      </c>
      <c r="P812" t="s">
        <v>39</v>
      </c>
      <c r="Q812" t="s">
        <v>40</v>
      </c>
      <c r="R812" t="s">
        <v>633</v>
      </c>
      <c r="S812">
        <v>10</v>
      </c>
      <c r="T812" t="s">
        <v>634</v>
      </c>
      <c r="U812">
        <v>0.12155051629375292</v>
      </c>
    </row>
    <row r="813" spans="1:21">
      <c r="A813">
        <v>19</v>
      </c>
      <c r="B813" s="1">
        <v>45955</v>
      </c>
      <c r="C813" t="s">
        <v>531</v>
      </c>
      <c r="D813" t="s">
        <v>626</v>
      </c>
      <c r="E813" t="s">
        <v>34</v>
      </c>
      <c r="F813" t="s">
        <v>86</v>
      </c>
      <c r="G813" t="s">
        <v>50</v>
      </c>
      <c r="H813" t="s">
        <v>51</v>
      </c>
      <c r="I813">
        <v>1</v>
      </c>
      <c r="J813">
        <v>709.28</v>
      </c>
      <c r="K813">
        <v>0.02</v>
      </c>
      <c r="L813">
        <v>695.09</v>
      </c>
      <c r="M813">
        <v>610.28</v>
      </c>
      <c r="N813">
        <v>84.81</v>
      </c>
      <c r="O813" t="s">
        <v>27</v>
      </c>
      <c r="P813" t="s">
        <v>45</v>
      </c>
      <c r="Q813" t="s">
        <v>29</v>
      </c>
      <c r="R813" t="s">
        <v>633</v>
      </c>
      <c r="S813">
        <v>10</v>
      </c>
      <c r="T813" t="s">
        <v>634</v>
      </c>
      <c r="U813">
        <v>0.12201297673682544</v>
      </c>
    </row>
    <row r="814" spans="1:21">
      <c r="A814">
        <v>651</v>
      </c>
      <c r="B814" s="1">
        <v>45955</v>
      </c>
      <c r="C814" t="s">
        <v>504</v>
      </c>
      <c r="D814" t="s">
        <v>643</v>
      </c>
      <c r="E814" t="s">
        <v>34</v>
      </c>
      <c r="F814" t="s">
        <v>49</v>
      </c>
      <c r="G814" t="s">
        <v>36</v>
      </c>
      <c r="H814" t="s">
        <v>37</v>
      </c>
      <c r="I814">
        <v>1</v>
      </c>
      <c r="J814">
        <v>8963.99</v>
      </c>
      <c r="K814">
        <v>0</v>
      </c>
      <c r="L814">
        <v>8963.99</v>
      </c>
      <c r="M814">
        <v>7173.74</v>
      </c>
      <c r="N814">
        <v>1790.25</v>
      </c>
      <c r="O814" t="s">
        <v>27</v>
      </c>
      <c r="P814" t="s">
        <v>39</v>
      </c>
      <c r="Q814" t="s">
        <v>46</v>
      </c>
      <c r="R814" t="s">
        <v>633</v>
      </c>
      <c r="S814">
        <v>10</v>
      </c>
      <c r="T814" t="s">
        <v>634</v>
      </c>
      <c r="U814">
        <v>0.19971575157937482</v>
      </c>
    </row>
    <row r="815" spans="1:21">
      <c r="A815">
        <v>799</v>
      </c>
      <c r="B815" s="1">
        <v>45955</v>
      </c>
      <c r="C815" t="s">
        <v>444</v>
      </c>
      <c r="D815" t="s">
        <v>335</v>
      </c>
      <c r="E815" t="s">
        <v>34</v>
      </c>
      <c r="F815" t="s">
        <v>35</v>
      </c>
      <c r="G815" t="s">
        <v>105</v>
      </c>
      <c r="H815" t="s">
        <v>26</v>
      </c>
      <c r="I815">
        <v>1</v>
      </c>
      <c r="J815">
        <v>7091.71</v>
      </c>
      <c r="K815">
        <v>0.15</v>
      </c>
      <c r="L815">
        <v>6027.95</v>
      </c>
      <c r="M815">
        <v>4422.01</v>
      </c>
      <c r="N815">
        <v>1605.94</v>
      </c>
      <c r="O815" t="s">
        <v>27</v>
      </c>
      <c r="P815" t="s">
        <v>39</v>
      </c>
      <c r="Q815" t="s">
        <v>46</v>
      </c>
      <c r="R815" t="s">
        <v>633</v>
      </c>
      <c r="S815">
        <v>10</v>
      </c>
      <c r="T815" t="s">
        <v>634</v>
      </c>
      <c r="U815">
        <v>0.26641561393176788</v>
      </c>
    </row>
    <row r="816" spans="1:21">
      <c r="A816">
        <v>563</v>
      </c>
      <c r="B816" s="1">
        <v>45957</v>
      </c>
      <c r="C816" t="s">
        <v>185</v>
      </c>
      <c r="D816" t="s">
        <v>411</v>
      </c>
      <c r="E816" t="s">
        <v>76</v>
      </c>
      <c r="F816" t="s">
        <v>113</v>
      </c>
      <c r="G816" t="s">
        <v>105</v>
      </c>
      <c r="H816" t="s">
        <v>26</v>
      </c>
      <c r="I816">
        <v>1</v>
      </c>
      <c r="J816">
        <v>3190.05</v>
      </c>
      <c r="K816">
        <v>0.02</v>
      </c>
      <c r="L816">
        <v>3126.25</v>
      </c>
      <c r="M816">
        <v>2336.15</v>
      </c>
      <c r="N816">
        <v>790.1</v>
      </c>
      <c r="O816" t="s">
        <v>38</v>
      </c>
      <c r="P816" t="s">
        <v>39</v>
      </c>
      <c r="Q816" t="s">
        <v>40</v>
      </c>
      <c r="R816" t="s">
        <v>633</v>
      </c>
      <c r="S816">
        <v>10</v>
      </c>
      <c r="T816" t="s">
        <v>634</v>
      </c>
      <c r="U816">
        <v>0.25273090763694522</v>
      </c>
    </row>
    <row r="817" spans="1:21">
      <c r="A817">
        <v>725</v>
      </c>
      <c r="B817" s="1">
        <v>45957</v>
      </c>
      <c r="C817" t="s">
        <v>84</v>
      </c>
      <c r="D817" t="s">
        <v>455</v>
      </c>
      <c r="E817" t="s">
        <v>97</v>
      </c>
      <c r="F817" t="s">
        <v>104</v>
      </c>
      <c r="G817" t="s">
        <v>66</v>
      </c>
      <c r="H817" t="s">
        <v>51</v>
      </c>
      <c r="I817">
        <v>4</v>
      </c>
      <c r="J817">
        <v>2722.63</v>
      </c>
      <c r="K817">
        <v>0.15</v>
      </c>
      <c r="L817">
        <v>9256.94</v>
      </c>
      <c r="M817">
        <v>7098.93</v>
      </c>
      <c r="N817">
        <v>2158.0100000000002</v>
      </c>
      <c r="O817" t="s">
        <v>38</v>
      </c>
      <c r="P817" t="s">
        <v>28</v>
      </c>
      <c r="Q817" t="s">
        <v>29</v>
      </c>
      <c r="R817" t="s">
        <v>633</v>
      </c>
      <c r="S817">
        <v>10</v>
      </c>
      <c r="T817" t="s">
        <v>634</v>
      </c>
      <c r="U817">
        <v>0.23312347276745882</v>
      </c>
    </row>
    <row r="818" spans="1:21">
      <c r="A818">
        <v>137</v>
      </c>
      <c r="B818" s="1">
        <v>45958</v>
      </c>
      <c r="C818" t="s">
        <v>47</v>
      </c>
      <c r="D818" t="s">
        <v>161</v>
      </c>
      <c r="E818" t="s">
        <v>97</v>
      </c>
      <c r="F818" t="s">
        <v>148</v>
      </c>
      <c r="G818" t="s">
        <v>50</v>
      </c>
      <c r="H818" t="s">
        <v>51</v>
      </c>
      <c r="I818">
        <v>2</v>
      </c>
      <c r="J818">
        <v>1169.79</v>
      </c>
      <c r="K818">
        <v>0.1</v>
      </c>
      <c r="L818">
        <v>2105.62</v>
      </c>
      <c r="M818">
        <v>1547.59</v>
      </c>
      <c r="N818">
        <v>558.03</v>
      </c>
      <c r="O818" t="s">
        <v>38</v>
      </c>
      <c r="P818" t="s">
        <v>78</v>
      </c>
      <c r="Q818" t="s">
        <v>29</v>
      </c>
      <c r="R818" t="s">
        <v>633</v>
      </c>
      <c r="S818">
        <v>10</v>
      </c>
      <c r="T818" t="s">
        <v>634</v>
      </c>
      <c r="U818">
        <v>0.26501932922369659</v>
      </c>
    </row>
    <row r="819" spans="1:21">
      <c r="A819">
        <v>564</v>
      </c>
      <c r="B819" s="1">
        <v>45958</v>
      </c>
      <c r="C819" t="s">
        <v>478</v>
      </c>
      <c r="D819" t="s">
        <v>65</v>
      </c>
      <c r="E819" t="s">
        <v>54</v>
      </c>
      <c r="F819" t="s">
        <v>108</v>
      </c>
      <c r="G819" t="s">
        <v>25</v>
      </c>
      <c r="H819" t="s">
        <v>26</v>
      </c>
      <c r="I819">
        <v>2</v>
      </c>
      <c r="J819">
        <v>10274.31</v>
      </c>
      <c r="K819">
        <v>0.1</v>
      </c>
      <c r="L819">
        <v>18493.759999999998</v>
      </c>
      <c r="M819">
        <v>17377.55</v>
      </c>
      <c r="N819">
        <v>1116.21</v>
      </c>
      <c r="O819" t="s">
        <v>38</v>
      </c>
      <c r="P819" t="s">
        <v>39</v>
      </c>
      <c r="Q819" t="s">
        <v>40</v>
      </c>
      <c r="R819" t="s">
        <v>633</v>
      </c>
      <c r="S819">
        <v>10</v>
      </c>
      <c r="T819" t="s">
        <v>634</v>
      </c>
      <c r="U819">
        <v>6.0356033602685454E-2</v>
      </c>
    </row>
    <row r="820" spans="1:21">
      <c r="A820">
        <v>283</v>
      </c>
      <c r="B820" s="1">
        <v>45959</v>
      </c>
      <c r="C820" t="s">
        <v>168</v>
      </c>
      <c r="D820" t="s">
        <v>455</v>
      </c>
      <c r="E820" t="s">
        <v>76</v>
      </c>
      <c r="F820" t="s">
        <v>77</v>
      </c>
      <c r="G820" t="s">
        <v>69</v>
      </c>
      <c r="H820" t="s">
        <v>70</v>
      </c>
      <c r="I820">
        <v>3</v>
      </c>
      <c r="J820">
        <v>3398.24</v>
      </c>
      <c r="K820">
        <v>0.02</v>
      </c>
      <c r="L820">
        <v>9990.83</v>
      </c>
      <c r="M820">
        <v>7770.25</v>
      </c>
      <c r="N820">
        <v>2220.58</v>
      </c>
      <c r="O820" t="s">
        <v>38</v>
      </c>
      <c r="P820" t="s">
        <v>71</v>
      </c>
      <c r="Q820" t="s">
        <v>29</v>
      </c>
      <c r="R820" t="s">
        <v>633</v>
      </c>
      <c r="S820">
        <v>10</v>
      </c>
      <c r="T820" t="s">
        <v>634</v>
      </c>
      <c r="U820">
        <v>0.22226181408351461</v>
      </c>
    </row>
    <row r="821" spans="1:21">
      <c r="A821">
        <v>748</v>
      </c>
      <c r="B821" s="1">
        <v>45959</v>
      </c>
      <c r="C821" t="s">
        <v>336</v>
      </c>
      <c r="D821" t="s">
        <v>644</v>
      </c>
      <c r="E821" t="s">
        <v>23</v>
      </c>
      <c r="F821" t="s">
        <v>58</v>
      </c>
      <c r="G821" t="s">
        <v>145</v>
      </c>
      <c r="H821" t="s">
        <v>70</v>
      </c>
      <c r="I821">
        <v>1</v>
      </c>
      <c r="J821">
        <v>1300.33</v>
      </c>
      <c r="K821">
        <v>0.05</v>
      </c>
      <c r="L821">
        <v>1235.31</v>
      </c>
      <c r="M821">
        <v>994.41</v>
      </c>
      <c r="N821">
        <v>240.9</v>
      </c>
      <c r="O821" t="s">
        <v>27</v>
      </c>
      <c r="P821" t="s">
        <v>71</v>
      </c>
      <c r="Q821" t="s">
        <v>40</v>
      </c>
      <c r="R821" t="s">
        <v>633</v>
      </c>
      <c r="S821">
        <v>10</v>
      </c>
      <c r="T821" t="s">
        <v>634</v>
      </c>
      <c r="U821">
        <v>0.19501177841999176</v>
      </c>
    </row>
    <row r="822" spans="1:21">
      <c r="A822">
        <v>223</v>
      </c>
      <c r="B822" s="1">
        <v>45959</v>
      </c>
      <c r="C822" t="s">
        <v>295</v>
      </c>
      <c r="D822" t="s">
        <v>576</v>
      </c>
      <c r="E822" t="s">
        <v>97</v>
      </c>
      <c r="F822" t="s">
        <v>104</v>
      </c>
      <c r="G822" t="s">
        <v>145</v>
      </c>
      <c r="H822" t="s">
        <v>70</v>
      </c>
      <c r="I822">
        <v>2</v>
      </c>
      <c r="J822">
        <v>1112.6400000000001</v>
      </c>
      <c r="K822">
        <v>0.05</v>
      </c>
      <c r="L822">
        <v>2114.02</v>
      </c>
      <c r="M822">
        <v>1821.21</v>
      </c>
      <c r="N822">
        <v>292.81</v>
      </c>
      <c r="O822" t="s">
        <v>38</v>
      </c>
      <c r="P822" t="s">
        <v>39</v>
      </c>
      <c r="Q822" t="s">
        <v>29</v>
      </c>
      <c r="R822" t="s">
        <v>633</v>
      </c>
      <c r="S822">
        <v>10</v>
      </c>
      <c r="T822" t="s">
        <v>634</v>
      </c>
      <c r="U822">
        <v>0.13850862338104655</v>
      </c>
    </row>
    <row r="823" spans="1:21">
      <c r="A823">
        <v>642</v>
      </c>
      <c r="B823" s="1">
        <v>45959</v>
      </c>
      <c r="C823" t="s">
        <v>267</v>
      </c>
      <c r="D823" t="s">
        <v>559</v>
      </c>
      <c r="E823" t="s">
        <v>34</v>
      </c>
      <c r="F823" t="s">
        <v>49</v>
      </c>
      <c r="G823" t="s">
        <v>145</v>
      </c>
      <c r="H823" t="s">
        <v>70</v>
      </c>
      <c r="I823">
        <v>4</v>
      </c>
      <c r="J823">
        <v>1830.97</v>
      </c>
      <c r="K823">
        <v>0.05</v>
      </c>
      <c r="L823">
        <v>6957.69</v>
      </c>
      <c r="M823">
        <v>5742.72</v>
      </c>
      <c r="N823">
        <v>1214.97</v>
      </c>
      <c r="O823" t="s">
        <v>27</v>
      </c>
      <c r="P823" t="s">
        <v>71</v>
      </c>
      <c r="Q823" t="s">
        <v>46</v>
      </c>
      <c r="R823" t="s">
        <v>633</v>
      </c>
      <c r="S823">
        <v>10</v>
      </c>
      <c r="T823" t="s">
        <v>634</v>
      </c>
      <c r="U823">
        <v>0.17462261181512831</v>
      </c>
    </row>
    <row r="824" spans="1:21">
      <c r="A824">
        <v>894</v>
      </c>
      <c r="B824" s="1">
        <v>45960</v>
      </c>
      <c r="C824" t="s">
        <v>140</v>
      </c>
      <c r="D824" t="s">
        <v>184</v>
      </c>
      <c r="E824" t="s">
        <v>34</v>
      </c>
      <c r="F824" t="s">
        <v>49</v>
      </c>
      <c r="G824" t="s">
        <v>99</v>
      </c>
      <c r="H824" t="s">
        <v>26</v>
      </c>
      <c r="I824">
        <v>2</v>
      </c>
      <c r="J824">
        <v>15709.95</v>
      </c>
      <c r="K824">
        <v>0.15</v>
      </c>
      <c r="L824">
        <v>26706.92</v>
      </c>
      <c r="M824">
        <v>23040.86</v>
      </c>
      <c r="N824">
        <v>3666.06</v>
      </c>
      <c r="O824" t="s">
        <v>27</v>
      </c>
      <c r="P824" t="s">
        <v>39</v>
      </c>
      <c r="Q824" t="s">
        <v>46</v>
      </c>
      <c r="R824" t="s">
        <v>633</v>
      </c>
      <c r="S824">
        <v>10</v>
      </c>
      <c r="T824" t="s">
        <v>634</v>
      </c>
      <c r="U824">
        <v>0.13727004087330175</v>
      </c>
    </row>
    <row r="825" spans="1:21">
      <c r="A825">
        <v>863</v>
      </c>
      <c r="B825" s="1">
        <v>45960</v>
      </c>
      <c r="C825" t="s">
        <v>289</v>
      </c>
      <c r="D825" t="s">
        <v>375</v>
      </c>
      <c r="E825" t="s">
        <v>54</v>
      </c>
      <c r="F825" t="s">
        <v>127</v>
      </c>
      <c r="G825" t="s">
        <v>36</v>
      </c>
      <c r="H825" t="s">
        <v>37</v>
      </c>
      <c r="I825">
        <v>3</v>
      </c>
      <c r="J825">
        <v>12655.09</v>
      </c>
      <c r="K825">
        <v>0.02</v>
      </c>
      <c r="L825">
        <v>37205.96</v>
      </c>
      <c r="M825">
        <v>28696.77</v>
      </c>
      <c r="N825">
        <v>8509.19</v>
      </c>
      <c r="O825" t="s">
        <v>27</v>
      </c>
      <c r="P825" t="s">
        <v>28</v>
      </c>
      <c r="Q825" t="s">
        <v>46</v>
      </c>
      <c r="R825" t="s">
        <v>633</v>
      </c>
      <c r="S825">
        <v>10</v>
      </c>
      <c r="T825" t="s">
        <v>634</v>
      </c>
      <c r="U825">
        <v>0.2287050246788418</v>
      </c>
    </row>
    <row r="826" spans="1:21">
      <c r="A826">
        <v>273</v>
      </c>
      <c r="B826" s="1">
        <v>45960</v>
      </c>
      <c r="C826" t="s">
        <v>199</v>
      </c>
      <c r="D826" t="s">
        <v>245</v>
      </c>
      <c r="E826" t="s">
        <v>54</v>
      </c>
      <c r="F826" t="s">
        <v>55</v>
      </c>
      <c r="G826" t="s">
        <v>105</v>
      </c>
      <c r="H826" t="s">
        <v>26</v>
      </c>
      <c r="I826">
        <v>1</v>
      </c>
      <c r="J826">
        <v>5734.69</v>
      </c>
      <c r="K826">
        <v>0.02</v>
      </c>
      <c r="L826">
        <v>5620</v>
      </c>
      <c r="M826">
        <v>4366.33</v>
      </c>
      <c r="N826">
        <v>1253.67</v>
      </c>
      <c r="O826" t="s">
        <v>27</v>
      </c>
      <c r="P826" t="s">
        <v>71</v>
      </c>
      <c r="Q826" t="s">
        <v>29</v>
      </c>
      <c r="R826" t="s">
        <v>633</v>
      </c>
      <c r="S826">
        <v>10</v>
      </c>
      <c r="T826" t="s">
        <v>634</v>
      </c>
      <c r="U826">
        <v>0.22307295373665481</v>
      </c>
    </row>
    <row r="827" spans="1:21">
      <c r="A827">
        <v>390</v>
      </c>
      <c r="B827" s="1">
        <v>45960</v>
      </c>
      <c r="C827" t="s">
        <v>442</v>
      </c>
      <c r="D827" t="s">
        <v>83</v>
      </c>
      <c r="E827" t="s">
        <v>54</v>
      </c>
      <c r="F827" t="s">
        <v>108</v>
      </c>
      <c r="G827" t="s">
        <v>69</v>
      </c>
      <c r="H827" t="s">
        <v>70</v>
      </c>
      <c r="I827">
        <v>1</v>
      </c>
      <c r="J827">
        <v>3321.12</v>
      </c>
      <c r="K827">
        <v>0</v>
      </c>
      <c r="L827">
        <v>3321.12</v>
      </c>
      <c r="M827">
        <v>2578.64</v>
      </c>
      <c r="N827">
        <v>742.48</v>
      </c>
      <c r="O827" t="s">
        <v>27</v>
      </c>
      <c r="P827" t="s">
        <v>39</v>
      </c>
      <c r="Q827" t="s">
        <v>40</v>
      </c>
      <c r="R827" t="s">
        <v>633</v>
      </c>
      <c r="S827">
        <v>10</v>
      </c>
      <c r="T827" t="s">
        <v>634</v>
      </c>
      <c r="U827">
        <v>0.22356313532784122</v>
      </c>
    </row>
    <row r="828" spans="1:21">
      <c r="A828">
        <v>676</v>
      </c>
      <c r="B828" s="1">
        <v>45960</v>
      </c>
      <c r="C828" t="s">
        <v>164</v>
      </c>
      <c r="D828" t="s">
        <v>371</v>
      </c>
      <c r="E828" t="s">
        <v>23</v>
      </c>
      <c r="F828" t="s">
        <v>43</v>
      </c>
      <c r="G828" t="s">
        <v>50</v>
      </c>
      <c r="H828" t="s">
        <v>51</v>
      </c>
      <c r="I828">
        <v>2</v>
      </c>
      <c r="J828">
        <v>792.72</v>
      </c>
      <c r="K828">
        <v>0.1</v>
      </c>
      <c r="L828">
        <v>1426.9</v>
      </c>
      <c r="M828">
        <v>1352.42</v>
      </c>
      <c r="N828">
        <v>74.48</v>
      </c>
      <c r="O828" t="s">
        <v>27</v>
      </c>
      <c r="P828" t="s">
        <v>45</v>
      </c>
      <c r="Q828" t="s">
        <v>40</v>
      </c>
      <c r="R828" t="s">
        <v>633</v>
      </c>
      <c r="S828">
        <v>10</v>
      </c>
      <c r="T828" t="s">
        <v>634</v>
      </c>
      <c r="U828">
        <v>5.2197070572569906E-2</v>
      </c>
    </row>
    <row r="829" spans="1:21">
      <c r="A829">
        <v>104</v>
      </c>
      <c r="B829" s="1">
        <v>45960</v>
      </c>
      <c r="C829" t="s">
        <v>287</v>
      </c>
      <c r="D829" t="s">
        <v>566</v>
      </c>
      <c r="E829" t="s">
        <v>76</v>
      </c>
      <c r="F829" t="s">
        <v>81</v>
      </c>
      <c r="G829" t="s">
        <v>50</v>
      </c>
      <c r="H829" t="s">
        <v>51</v>
      </c>
      <c r="I829">
        <v>1</v>
      </c>
      <c r="J829">
        <v>1454.52</v>
      </c>
      <c r="K829">
        <v>0.02</v>
      </c>
      <c r="L829">
        <v>1425.43</v>
      </c>
      <c r="M829">
        <v>1162.96</v>
      </c>
      <c r="N829">
        <v>262.47000000000003</v>
      </c>
      <c r="O829" t="s">
        <v>27</v>
      </c>
      <c r="P829" t="s">
        <v>39</v>
      </c>
      <c r="Q829" t="s">
        <v>46</v>
      </c>
      <c r="R829" t="s">
        <v>633</v>
      </c>
      <c r="S829">
        <v>10</v>
      </c>
      <c r="T829" t="s">
        <v>634</v>
      </c>
      <c r="U829">
        <v>0.18413391046912161</v>
      </c>
    </row>
    <row r="830" spans="1:21">
      <c r="A830">
        <v>127</v>
      </c>
      <c r="B830" s="1">
        <v>45960</v>
      </c>
      <c r="C830" t="s">
        <v>285</v>
      </c>
      <c r="D830" t="s">
        <v>495</v>
      </c>
      <c r="E830" t="s">
        <v>23</v>
      </c>
      <c r="F830" t="s">
        <v>43</v>
      </c>
      <c r="G830" t="s">
        <v>105</v>
      </c>
      <c r="H830" t="s">
        <v>26</v>
      </c>
      <c r="I830">
        <v>2</v>
      </c>
      <c r="J830">
        <v>7665.87</v>
      </c>
      <c r="K830">
        <v>0.1</v>
      </c>
      <c r="L830">
        <v>13798.57</v>
      </c>
      <c r="M830">
        <v>12420.71</v>
      </c>
      <c r="N830">
        <v>1377.86</v>
      </c>
      <c r="O830" t="s">
        <v>38</v>
      </c>
      <c r="P830" t="s">
        <v>28</v>
      </c>
      <c r="Q830" t="s">
        <v>29</v>
      </c>
      <c r="R830" t="s">
        <v>633</v>
      </c>
      <c r="S830">
        <v>10</v>
      </c>
      <c r="T830" t="s">
        <v>634</v>
      </c>
      <c r="U830">
        <v>9.9855274858191817E-2</v>
      </c>
    </row>
    <row r="831" spans="1:21">
      <c r="A831">
        <v>856</v>
      </c>
      <c r="B831" s="1">
        <v>45960</v>
      </c>
      <c r="C831" t="s">
        <v>211</v>
      </c>
      <c r="D831" t="s">
        <v>179</v>
      </c>
      <c r="E831" t="s">
        <v>34</v>
      </c>
      <c r="F831" t="s">
        <v>35</v>
      </c>
      <c r="G831" t="s">
        <v>62</v>
      </c>
      <c r="H831" t="s">
        <v>63</v>
      </c>
      <c r="I831">
        <v>1</v>
      </c>
      <c r="J831">
        <v>201.59</v>
      </c>
      <c r="K831">
        <v>0.1</v>
      </c>
      <c r="L831">
        <v>181.43</v>
      </c>
      <c r="M831">
        <v>176.38</v>
      </c>
      <c r="N831">
        <v>5.05</v>
      </c>
      <c r="O831" t="s">
        <v>38</v>
      </c>
      <c r="P831" t="s">
        <v>78</v>
      </c>
      <c r="Q831" t="s">
        <v>40</v>
      </c>
      <c r="R831" t="s">
        <v>633</v>
      </c>
      <c r="S831">
        <v>10</v>
      </c>
      <c r="T831" t="s">
        <v>634</v>
      </c>
      <c r="U831">
        <v>2.7834426500578734E-2</v>
      </c>
    </row>
    <row r="832" spans="1:21">
      <c r="A832">
        <v>516</v>
      </c>
      <c r="B832" s="1">
        <v>45961</v>
      </c>
      <c r="C832" t="s">
        <v>567</v>
      </c>
      <c r="D832" t="s">
        <v>238</v>
      </c>
      <c r="E832" t="s">
        <v>97</v>
      </c>
      <c r="F832" t="s">
        <v>104</v>
      </c>
      <c r="G832" t="s">
        <v>134</v>
      </c>
      <c r="H832" t="s">
        <v>26</v>
      </c>
      <c r="I832">
        <v>1</v>
      </c>
      <c r="J832">
        <v>20771.150000000001</v>
      </c>
      <c r="K832">
        <v>0.1</v>
      </c>
      <c r="L832">
        <v>18694.04</v>
      </c>
      <c r="M832">
        <v>17400.88</v>
      </c>
      <c r="N832">
        <v>1293.1600000000001</v>
      </c>
      <c r="O832" t="s">
        <v>27</v>
      </c>
      <c r="P832" t="s">
        <v>28</v>
      </c>
      <c r="Q832" t="s">
        <v>40</v>
      </c>
      <c r="R832" t="s">
        <v>633</v>
      </c>
      <c r="S832">
        <v>10</v>
      </c>
      <c r="T832" t="s">
        <v>634</v>
      </c>
      <c r="U832">
        <v>6.9174988392022269E-2</v>
      </c>
    </row>
    <row r="833" spans="1:21">
      <c r="A833">
        <v>967</v>
      </c>
      <c r="B833" s="1">
        <v>45961</v>
      </c>
      <c r="C833" t="s">
        <v>398</v>
      </c>
      <c r="D833" t="s">
        <v>645</v>
      </c>
      <c r="E833" t="s">
        <v>34</v>
      </c>
      <c r="F833" t="s">
        <v>35</v>
      </c>
      <c r="G833" t="s">
        <v>44</v>
      </c>
      <c r="H833" t="s">
        <v>26</v>
      </c>
      <c r="I833">
        <v>1</v>
      </c>
      <c r="J833">
        <v>67475.44</v>
      </c>
      <c r="K833">
        <v>0.1</v>
      </c>
      <c r="L833">
        <v>60727.9</v>
      </c>
      <c r="M833">
        <v>50070.36</v>
      </c>
      <c r="N833">
        <v>10657.54</v>
      </c>
      <c r="O833" t="s">
        <v>27</v>
      </c>
      <c r="P833" t="s">
        <v>39</v>
      </c>
      <c r="Q833" t="s">
        <v>40</v>
      </c>
      <c r="R833" t="s">
        <v>633</v>
      </c>
      <c r="S833">
        <v>10</v>
      </c>
      <c r="T833" t="s">
        <v>634</v>
      </c>
      <c r="U833">
        <v>0.17549660040936704</v>
      </c>
    </row>
    <row r="834" spans="1:21">
      <c r="A834">
        <v>349</v>
      </c>
      <c r="B834" s="1">
        <v>45961</v>
      </c>
      <c r="C834" t="s">
        <v>296</v>
      </c>
      <c r="D834" t="s">
        <v>302</v>
      </c>
      <c r="E834" t="s">
        <v>54</v>
      </c>
      <c r="F834" t="s">
        <v>55</v>
      </c>
      <c r="G834" t="s">
        <v>50</v>
      </c>
      <c r="H834" t="s">
        <v>51</v>
      </c>
      <c r="I834">
        <v>3</v>
      </c>
      <c r="J834">
        <v>1319.01</v>
      </c>
      <c r="K834">
        <v>0.05</v>
      </c>
      <c r="L834">
        <v>3759.18</v>
      </c>
      <c r="M834">
        <v>2467.4499999999998</v>
      </c>
      <c r="N834">
        <v>1291.73</v>
      </c>
      <c r="O834" t="s">
        <v>27</v>
      </c>
      <c r="P834" t="s">
        <v>45</v>
      </c>
      <c r="Q834" t="s">
        <v>29</v>
      </c>
      <c r="R834" t="s">
        <v>633</v>
      </c>
      <c r="S834">
        <v>10</v>
      </c>
      <c r="T834" t="s">
        <v>634</v>
      </c>
      <c r="U834">
        <v>0.34362015120318795</v>
      </c>
    </row>
    <row r="835" spans="1:21">
      <c r="A835">
        <v>688</v>
      </c>
      <c r="B835" s="1">
        <v>45962</v>
      </c>
      <c r="C835" t="s">
        <v>646</v>
      </c>
      <c r="D835" t="s">
        <v>169</v>
      </c>
      <c r="E835" t="s">
        <v>23</v>
      </c>
      <c r="F835" t="s">
        <v>58</v>
      </c>
      <c r="G835" t="s">
        <v>145</v>
      </c>
      <c r="H835" t="s">
        <v>70</v>
      </c>
      <c r="I835">
        <v>4</v>
      </c>
      <c r="J835">
        <v>1472.94</v>
      </c>
      <c r="K835">
        <v>0</v>
      </c>
      <c r="L835">
        <v>5891.76</v>
      </c>
      <c r="M835">
        <v>4092.3</v>
      </c>
      <c r="N835">
        <v>1799.46</v>
      </c>
      <c r="O835" t="s">
        <v>27</v>
      </c>
      <c r="P835" t="s">
        <v>71</v>
      </c>
      <c r="Q835" t="s">
        <v>46</v>
      </c>
      <c r="R835" t="s">
        <v>647</v>
      </c>
      <c r="S835">
        <v>11</v>
      </c>
      <c r="T835" t="s">
        <v>634</v>
      </c>
      <c r="U835">
        <v>0.30541977269949894</v>
      </c>
    </row>
    <row r="836" spans="1:21">
      <c r="A836">
        <v>594</v>
      </c>
      <c r="B836" s="1">
        <v>45962</v>
      </c>
      <c r="C836" t="s">
        <v>567</v>
      </c>
      <c r="D836" t="s">
        <v>305</v>
      </c>
      <c r="E836" t="s">
        <v>23</v>
      </c>
      <c r="F836" t="s">
        <v>24</v>
      </c>
      <c r="G836" t="s">
        <v>25</v>
      </c>
      <c r="H836" t="s">
        <v>26</v>
      </c>
      <c r="I836">
        <v>2</v>
      </c>
      <c r="J836">
        <v>19056.91</v>
      </c>
      <c r="K836">
        <v>0.05</v>
      </c>
      <c r="L836">
        <v>36208.129999999997</v>
      </c>
      <c r="M836">
        <v>27498.240000000002</v>
      </c>
      <c r="N836">
        <v>8709.89</v>
      </c>
      <c r="O836" t="s">
        <v>38</v>
      </c>
      <c r="P836" t="s">
        <v>78</v>
      </c>
      <c r="Q836" t="s">
        <v>40</v>
      </c>
      <c r="R836" t="s">
        <v>647</v>
      </c>
      <c r="S836">
        <v>11</v>
      </c>
      <c r="T836" t="s">
        <v>634</v>
      </c>
      <c r="U836">
        <v>0.24055067190711035</v>
      </c>
    </row>
    <row r="837" spans="1:21">
      <c r="A837">
        <v>139</v>
      </c>
      <c r="B837" s="1">
        <v>45962</v>
      </c>
      <c r="C837" t="s">
        <v>189</v>
      </c>
      <c r="D837" t="s">
        <v>623</v>
      </c>
      <c r="E837" t="s">
        <v>23</v>
      </c>
      <c r="F837" t="s">
        <v>24</v>
      </c>
      <c r="G837" t="s">
        <v>105</v>
      </c>
      <c r="H837" t="s">
        <v>26</v>
      </c>
      <c r="I837">
        <v>2</v>
      </c>
      <c r="J837">
        <v>5825.55</v>
      </c>
      <c r="K837">
        <v>0</v>
      </c>
      <c r="L837">
        <v>11651.1</v>
      </c>
      <c r="M837">
        <v>9769.65</v>
      </c>
      <c r="N837">
        <v>1881.45</v>
      </c>
      <c r="O837" t="s">
        <v>27</v>
      </c>
      <c r="P837" t="s">
        <v>71</v>
      </c>
      <c r="Q837" t="s">
        <v>29</v>
      </c>
      <c r="R837" t="s">
        <v>647</v>
      </c>
      <c r="S837">
        <v>11</v>
      </c>
      <c r="T837" t="s">
        <v>634</v>
      </c>
      <c r="U837">
        <v>0.16148260679249168</v>
      </c>
    </row>
    <row r="838" spans="1:21">
      <c r="A838">
        <v>249</v>
      </c>
      <c r="B838" s="1">
        <v>45962</v>
      </c>
      <c r="C838" t="s">
        <v>419</v>
      </c>
      <c r="D838" t="s">
        <v>255</v>
      </c>
      <c r="E838" t="s">
        <v>23</v>
      </c>
      <c r="F838" t="s">
        <v>43</v>
      </c>
      <c r="G838" t="s">
        <v>99</v>
      </c>
      <c r="H838" t="s">
        <v>26</v>
      </c>
      <c r="I838">
        <v>3</v>
      </c>
      <c r="J838">
        <v>9649.69</v>
      </c>
      <c r="K838">
        <v>0.1</v>
      </c>
      <c r="L838">
        <v>26054.16</v>
      </c>
      <c r="M838">
        <v>25325.47</v>
      </c>
      <c r="N838">
        <v>728.69</v>
      </c>
      <c r="O838" t="s">
        <v>27</v>
      </c>
      <c r="P838" t="s">
        <v>71</v>
      </c>
      <c r="Q838" t="s">
        <v>46</v>
      </c>
      <c r="R838" t="s">
        <v>647</v>
      </c>
      <c r="S838">
        <v>11</v>
      </c>
      <c r="T838" t="s">
        <v>634</v>
      </c>
      <c r="U838">
        <v>2.7968278386253868E-2</v>
      </c>
    </row>
    <row r="839" spans="1:21">
      <c r="A839">
        <v>431</v>
      </c>
      <c r="B839" s="1">
        <v>45962</v>
      </c>
      <c r="C839" t="s">
        <v>648</v>
      </c>
      <c r="D839" t="s">
        <v>161</v>
      </c>
      <c r="E839" t="s">
        <v>97</v>
      </c>
      <c r="F839" t="s">
        <v>98</v>
      </c>
      <c r="G839" t="s">
        <v>145</v>
      </c>
      <c r="H839" t="s">
        <v>70</v>
      </c>
      <c r="I839">
        <v>2</v>
      </c>
      <c r="J839">
        <v>1015.13</v>
      </c>
      <c r="K839">
        <v>0.1</v>
      </c>
      <c r="L839">
        <v>1827.23</v>
      </c>
      <c r="M839">
        <v>1467.76</v>
      </c>
      <c r="N839">
        <v>359.47</v>
      </c>
      <c r="O839" t="s">
        <v>38</v>
      </c>
      <c r="P839" t="s">
        <v>78</v>
      </c>
      <c r="Q839" t="s">
        <v>40</v>
      </c>
      <c r="R839" t="s">
        <v>647</v>
      </c>
      <c r="S839">
        <v>11</v>
      </c>
      <c r="T839" t="s">
        <v>634</v>
      </c>
      <c r="U839">
        <v>0.19672947576386116</v>
      </c>
    </row>
    <row r="840" spans="1:21">
      <c r="A840">
        <v>333</v>
      </c>
      <c r="B840" s="1">
        <v>45962</v>
      </c>
      <c r="C840" t="s">
        <v>648</v>
      </c>
      <c r="D840" t="s">
        <v>540</v>
      </c>
      <c r="E840" t="s">
        <v>76</v>
      </c>
      <c r="F840" t="s">
        <v>81</v>
      </c>
      <c r="G840" t="s">
        <v>36</v>
      </c>
      <c r="H840" t="s">
        <v>37</v>
      </c>
      <c r="I840">
        <v>4</v>
      </c>
      <c r="J840">
        <v>12304.88</v>
      </c>
      <c r="K840">
        <v>0.15</v>
      </c>
      <c r="L840">
        <v>41836.589999999997</v>
      </c>
      <c r="M840">
        <v>35530.76</v>
      </c>
      <c r="N840">
        <v>6305.83</v>
      </c>
      <c r="O840" t="s">
        <v>38</v>
      </c>
      <c r="P840" t="s">
        <v>28</v>
      </c>
      <c r="Q840" t="s">
        <v>29</v>
      </c>
      <c r="R840" t="s">
        <v>647</v>
      </c>
      <c r="S840">
        <v>11</v>
      </c>
      <c r="T840" t="s">
        <v>634</v>
      </c>
      <c r="U840">
        <v>0.15072523836192195</v>
      </c>
    </row>
    <row r="841" spans="1:21">
      <c r="A841">
        <v>628</v>
      </c>
      <c r="B841" s="1">
        <v>45963</v>
      </c>
      <c r="C841" t="s">
        <v>209</v>
      </c>
      <c r="D841" t="s">
        <v>528</v>
      </c>
      <c r="E841" t="s">
        <v>97</v>
      </c>
      <c r="F841" t="s">
        <v>98</v>
      </c>
      <c r="G841" t="s">
        <v>66</v>
      </c>
      <c r="H841" t="s">
        <v>51</v>
      </c>
      <c r="I841">
        <v>1</v>
      </c>
      <c r="J841">
        <v>2780.66</v>
      </c>
      <c r="K841">
        <v>0.15</v>
      </c>
      <c r="L841">
        <v>2363.56</v>
      </c>
      <c r="M841">
        <v>1835.92</v>
      </c>
      <c r="N841">
        <v>527.64</v>
      </c>
      <c r="O841" t="s">
        <v>38</v>
      </c>
      <c r="P841" t="s">
        <v>78</v>
      </c>
      <c r="Q841" t="s">
        <v>40</v>
      </c>
      <c r="R841" t="s">
        <v>647</v>
      </c>
      <c r="S841">
        <v>11</v>
      </c>
      <c r="T841" t="s">
        <v>634</v>
      </c>
      <c r="U841">
        <v>0.22323952004603226</v>
      </c>
    </row>
    <row r="842" spans="1:21">
      <c r="A842">
        <v>536</v>
      </c>
      <c r="B842" s="1">
        <v>45965</v>
      </c>
      <c r="C842" t="s">
        <v>279</v>
      </c>
      <c r="D842" t="s">
        <v>649</v>
      </c>
      <c r="E842" t="s">
        <v>76</v>
      </c>
      <c r="F842" t="s">
        <v>113</v>
      </c>
      <c r="G842" t="s">
        <v>105</v>
      </c>
      <c r="H842" t="s">
        <v>26</v>
      </c>
      <c r="I842">
        <v>1</v>
      </c>
      <c r="J842">
        <v>3273.34</v>
      </c>
      <c r="K842">
        <v>0.1</v>
      </c>
      <c r="L842">
        <v>2946.01</v>
      </c>
      <c r="M842">
        <v>2282.9699999999998</v>
      </c>
      <c r="N842">
        <v>663.04</v>
      </c>
      <c r="O842" t="s">
        <v>38</v>
      </c>
      <c r="P842" t="s">
        <v>28</v>
      </c>
      <c r="Q842" t="s">
        <v>29</v>
      </c>
      <c r="R842" t="s">
        <v>647</v>
      </c>
      <c r="S842">
        <v>11</v>
      </c>
      <c r="T842" t="s">
        <v>634</v>
      </c>
      <c r="U842">
        <v>0.22506373026568136</v>
      </c>
    </row>
    <row r="843" spans="1:21">
      <c r="A843">
        <v>929</v>
      </c>
      <c r="B843" s="1">
        <v>45965</v>
      </c>
      <c r="C843" t="s">
        <v>60</v>
      </c>
      <c r="D843" t="s">
        <v>112</v>
      </c>
      <c r="E843" t="s">
        <v>34</v>
      </c>
      <c r="F843" t="s">
        <v>35</v>
      </c>
      <c r="G843" t="s">
        <v>99</v>
      </c>
      <c r="H843" t="s">
        <v>26</v>
      </c>
      <c r="I843">
        <v>2</v>
      </c>
      <c r="J843">
        <v>14249.97</v>
      </c>
      <c r="K843">
        <v>0.15</v>
      </c>
      <c r="L843">
        <v>24224.95</v>
      </c>
      <c r="M843">
        <v>22779.95</v>
      </c>
      <c r="N843">
        <v>1445</v>
      </c>
      <c r="O843" t="s">
        <v>27</v>
      </c>
      <c r="P843" t="s">
        <v>28</v>
      </c>
      <c r="Q843" t="s">
        <v>46</v>
      </c>
      <c r="R843" t="s">
        <v>647</v>
      </c>
      <c r="S843">
        <v>11</v>
      </c>
      <c r="T843" t="s">
        <v>634</v>
      </c>
      <c r="U843">
        <v>5.9649245922076204E-2</v>
      </c>
    </row>
    <row r="844" spans="1:21">
      <c r="A844">
        <v>227</v>
      </c>
      <c r="B844" s="1">
        <v>45966</v>
      </c>
      <c r="C844" t="s">
        <v>475</v>
      </c>
      <c r="D844" t="s">
        <v>455</v>
      </c>
      <c r="E844" t="s">
        <v>54</v>
      </c>
      <c r="F844" t="s">
        <v>127</v>
      </c>
      <c r="G844" t="s">
        <v>25</v>
      </c>
      <c r="H844" t="s">
        <v>26</v>
      </c>
      <c r="I844">
        <v>2</v>
      </c>
      <c r="J844">
        <v>6198.46</v>
      </c>
      <c r="K844">
        <v>0</v>
      </c>
      <c r="L844">
        <v>12396.92</v>
      </c>
      <c r="M844">
        <v>10343.73</v>
      </c>
      <c r="N844">
        <v>2053.19</v>
      </c>
      <c r="O844" t="s">
        <v>38</v>
      </c>
      <c r="P844" t="s">
        <v>78</v>
      </c>
      <c r="Q844" t="s">
        <v>46</v>
      </c>
      <c r="R844" t="s">
        <v>647</v>
      </c>
      <c r="S844">
        <v>11</v>
      </c>
      <c r="T844" t="s">
        <v>634</v>
      </c>
      <c r="U844">
        <v>0.16562097682327545</v>
      </c>
    </row>
    <row r="845" spans="1:21">
      <c r="A845">
        <v>613</v>
      </c>
      <c r="B845" s="1">
        <v>45966</v>
      </c>
      <c r="C845" t="s">
        <v>178</v>
      </c>
      <c r="D845" t="s">
        <v>586</v>
      </c>
      <c r="E845" t="s">
        <v>23</v>
      </c>
      <c r="F845" t="s">
        <v>24</v>
      </c>
      <c r="G845" t="s">
        <v>69</v>
      </c>
      <c r="H845" t="s">
        <v>70</v>
      </c>
      <c r="I845">
        <v>4</v>
      </c>
      <c r="J845">
        <v>2379.31</v>
      </c>
      <c r="K845">
        <v>0.15</v>
      </c>
      <c r="L845">
        <v>8089.65</v>
      </c>
      <c r="M845">
        <v>5978.25</v>
      </c>
      <c r="N845">
        <v>2111.4</v>
      </c>
      <c r="O845" t="s">
        <v>27</v>
      </c>
      <c r="P845" t="s">
        <v>28</v>
      </c>
      <c r="Q845" t="s">
        <v>40</v>
      </c>
      <c r="R845" t="s">
        <v>647</v>
      </c>
      <c r="S845">
        <v>11</v>
      </c>
      <c r="T845" t="s">
        <v>634</v>
      </c>
      <c r="U845">
        <v>0.26100016687990213</v>
      </c>
    </row>
    <row r="846" spans="1:21">
      <c r="A846">
        <v>633</v>
      </c>
      <c r="B846" s="1">
        <v>45966</v>
      </c>
      <c r="C846" t="s">
        <v>304</v>
      </c>
      <c r="D846" t="s">
        <v>94</v>
      </c>
      <c r="E846" t="s">
        <v>34</v>
      </c>
      <c r="F846" t="s">
        <v>35</v>
      </c>
      <c r="G846" t="s">
        <v>134</v>
      </c>
      <c r="H846" t="s">
        <v>26</v>
      </c>
      <c r="I846">
        <v>2</v>
      </c>
      <c r="J846">
        <v>29675.48</v>
      </c>
      <c r="K846">
        <v>0.02</v>
      </c>
      <c r="L846">
        <v>58163.94</v>
      </c>
      <c r="M846">
        <v>50512.160000000003</v>
      </c>
      <c r="N846">
        <v>7651.78</v>
      </c>
      <c r="O846" t="s">
        <v>38</v>
      </c>
      <c r="P846" t="s">
        <v>28</v>
      </c>
      <c r="Q846" t="s">
        <v>40</v>
      </c>
      <c r="R846" t="s">
        <v>647</v>
      </c>
      <c r="S846">
        <v>11</v>
      </c>
      <c r="T846" t="s">
        <v>634</v>
      </c>
      <c r="U846">
        <v>0.13155539325568383</v>
      </c>
    </row>
    <row r="847" spans="1:21">
      <c r="A847">
        <v>159</v>
      </c>
      <c r="B847" s="1">
        <v>45967</v>
      </c>
      <c r="C847" t="s">
        <v>293</v>
      </c>
      <c r="D847" t="s">
        <v>575</v>
      </c>
      <c r="E847" t="s">
        <v>97</v>
      </c>
      <c r="F847" t="s">
        <v>148</v>
      </c>
      <c r="G847" t="s">
        <v>66</v>
      </c>
      <c r="H847" t="s">
        <v>51</v>
      </c>
      <c r="I847">
        <v>2</v>
      </c>
      <c r="J847">
        <v>3286.16</v>
      </c>
      <c r="K847">
        <v>0.1</v>
      </c>
      <c r="L847">
        <v>5915.09</v>
      </c>
      <c r="M847">
        <v>4223.57</v>
      </c>
      <c r="N847">
        <v>1691.52</v>
      </c>
      <c r="O847" t="s">
        <v>27</v>
      </c>
      <c r="P847" t="s">
        <v>39</v>
      </c>
      <c r="Q847" t="s">
        <v>29</v>
      </c>
      <c r="R847" t="s">
        <v>647</v>
      </c>
      <c r="S847">
        <v>11</v>
      </c>
      <c r="T847" t="s">
        <v>634</v>
      </c>
      <c r="U847">
        <v>0.28596690836487693</v>
      </c>
    </row>
    <row r="848" spans="1:21">
      <c r="A848">
        <v>641</v>
      </c>
      <c r="B848" s="1">
        <v>45967</v>
      </c>
      <c r="C848" t="s">
        <v>285</v>
      </c>
      <c r="D848" t="s">
        <v>650</v>
      </c>
      <c r="E848" t="s">
        <v>97</v>
      </c>
      <c r="F848" t="s">
        <v>148</v>
      </c>
      <c r="G848" t="s">
        <v>134</v>
      </c>
      <c r="H848" t="s">
        <v>26</v>
      </c>
      <c r="I848">
        <v>4</v>
      </c>
      <c r="J848">
        <v>29208.97</v>
      </c>
      <c r="K848">
        <v>0.05</v>
      </c>
      <c r="L848">
        <v>110994.09</v>
      </c>
      <c r="M848">
        <v>101735.12</v>
      </c>
      <c r="N848">
        <v>9258.9699999999993</v>
      </c>
      <c r="O848" t="s">
        <v>38</v>
      </c>
      <c r="P848" t="s">
        <v>39</v>
      </c>
      <c r="Q848" t="s">
        <v>40</v>
      </c>
      <c r="R848" t="s">
        <v>647</v>
      </c>
      <c r="S848">
        <v>11</v>
      </c>
      <c r="T848" t="s">
        <v>634</v>
      </c>
      <c r="U848">
        <v>8.341858562018932E-2</v>
      </c>
    </row>
    <row r="849" spans="1:21">
      <c r="A849">
        <v>421</v>
      </c>
      <c r="B849" s="1">
        <v>45967</v>
      </c>
      <c r="C849" t="s">
        <v>74</v>
      </c>
      <c r="D849" t="s">
        <v>561</v>
      </c>
      <c r="E849" t="s">
        <v>76</v>
      </c>
      <c r="F849" t="s">
        <v>81</v>
      </c>
      <c r="G849" t="s">
        <v>59</v>
      </c>
      <c r="H849" t="s">
        <v>37</v>
      </c>
      <c r="I849">
        <v>4</v>
      </c>
      <c r="J849">
        <v>6641.52</v>
      </c>
      <c r="K849">
        <v>0.1</v>
      </c>
      <c r="L849">
        <v>23909.47</v>
      </c>
      <c r="M849">
        <v>22854.959999999999</v>
      </c>
      <c r="N849">
        <v>1054.51</v>
      </c>
      <c r="O849" t="s">
        <v>38</v>
      </c>
      <c r="P849" t="s">
        <v>71</v>
      </c>
      <c r="Q849" t="s">
        <v>46</v>
      </c>
      <c r="R849" t="s">
        <v>647</v>
      </c>
      <c r="S849">
        <v>11</v>
      </c>
      <c r="T849" t="s">
        <v>634</v>
      </c>
      <c r="U849">
        <v>4.4104281692567839E-2</v>
      </c>
    </row>
    <row r="850" spans="1:21">
      <c r="A850">
        <v>453</v>
      </c>
      <c r="B850" s="1">
        <v>45967</v>
      </c>
      <c r="C850" t="s">
        <v>360</v>
      </c>
      <c r="D850" t="s">
        <v>620</v>
      </c>
      <c r="E850" t="s">
        <v>23</v>
      </c>
      <c r="F850" t="s">
        <v>24</v>
      </c>
      <c r="G850" t="s">
        <v>105</v>
      </c>
      <c r="H850" t="s">
        <v>26</v>
      </c>
      <c r="I850">
        <v>3</v>
      </c>
      <c r="J850">
        <v>4325.58</v>
      </c>
      <c r="K850">
        <v>0.15</v>
      </c>
      <c r="L850">
        <v>11030.23</v>
      </c>
      <c r="M850">
        <v>10132.74</v>
      </c>
      <c r="N850">
        <v>897.49</v>
      </c>
      <c r="O850" t="s">
        <v>27</v>
      </c>
      <c r="P850" t="s">
        <v>39</v>
      </c>
      <c r="Q850" t="s">
        <v>29</v>
      </c>
      <c r="R850" t="s">
        <v>647</v>
      </c>
      <c r="S850">
        <v>11</v>
      </c>
      <c r="T850" t="s">
        <v>634</v>
      </c>
      <c r="U850">
        <v>8.1366390365386759E-2</v>
      </c>
    </row>
    <row r="851" spans="1:21">
      <c r="A851">
        <v>55</v>
      </c>
      <c r="B851" s="1">
        <v>45968</v>
      </c>
      <c r="C851" t="s">
        <v>485</v>
      </c>
      <c r="D851" t="s">
        <v>471</v>
      </c>
      <c r="E851" t="s">
        <v>97</v>
      </c>
      <c r="F851" t="s">
        <v>98</v>
      </c>
      <c r="G851" t="s">
        <v>44</v>
      </c>
      <c r="H851" t="s">
        <v>26</v>
      </c>
      <c r="I851">
        <v>1</v>
      </c>
      <c r="J851">
        <v>64373.86</v>
      </c>
      <c r="K851">
        <v>0</v>
      </c>
      <c r="L851">
        <v>64373.86</v>
      </c>
      <c r="M851">
        <v>40140.620000000003</v>
      </c>
      <c r="N851">
        <v>24233.24</v>
      </c>
      <c r="O851" t="s">
        <v>38</v>
      </c>
      <c r="P851" t="s">
        <v>71</v>
      </c>
      <c r="Q851" t="s">
        <v>40</v>
      </c>
      <c r="R851" t="s">
        <v>647</v>
      </c>
      <c r="S851">
        <v>11</v>
      </c>
      <c r="T851" t="s">
        <v>634</v>
      </c>
      <c r="U851">
        <v>0.37644534598360269</v>
      </c>
    </row>
    <row r="852" spans="1:21">
      <c r="A852">
        <v>571</v>
      </c>
      <c r="B852" s="1">
        <v>45968</v>
      </c>
      <c r="C852" t="s">
        <v>625</v>
      </c>
      <c r="D852" t="s">
        <v>171</v>
      </c>
      <c r="E852" t="s">
        <v>23</v>
      </c>
      <c r="F852" t="s">
        <v>58</v>
      </c>
      <c r="G852" t="s">
        <v>69</v>
      </c>
      <c r="H852" t="s">
        <v>70</v>
      </c>
      <c r="I852">
        <v>4</v>
      </c>
      <c r="J852">
        <v>1177.17</v>
      </c>
      <c r="K852">
        <v>0.15</v>
      </c>
      <c r="L852">
        <v>4002.38</v>
      </c>
      <c r="M852">
        <v>3469.12</v>
      </c>
      <c r="N852">
        <v>533.26</v>
      </c>
      <c r="O852" t="s">
        <v>27</v>
      </c>
      <c r="P852" t="s">
        <v>39</v>
      </c>
      <c r="Q852" t="s">
        <v>40</v>
      </c>
      <c r="R852" t="s">
        <v>647</v>
      </c>
      <c r="S852">
        <v>11</v>
      </c>
      <c r="T852" t="s">
        <v>634</v>
      </c>
      <c r="U852">
        <v>0.13323572474377746</v>
      </c>
    </row>
    <row r="853" spans="1:21">
      <c r="A853">
        <v>53</v>
      </c>
      <c r="B853" s="1">
        <v>45969</v>
      </c>
      <c r="C853" t="s">
        <v>395</v>
      </c>
      <c r="D853" t="s">
        <v>650</v>
      </c>
      <c r="E853" t="s">
        <v>23</v>
      </c>
      <c r="F853" t="s">
        <v>58</v>
      </c>
      <c r="G853" t="s">
        <v>145</v>
      </c>
      <c r="H853" t="s">
        <v>70</v>
      </c>
      <c r="I853">
        <v>2</v>
      </c>
      <c r="J853">
        <v>2114.66</v>
      </c>
      <c r="K853">
        <v>0</v>
      </c>
      <c r="L853">
        <v>4229.32</v>
      </c>
      <c r="M853">
        <v>3082.09</v>
      </c>
      <c r="N853">
        <v>1147.23</v>
      </c>
      <c r="O853" t="s">
        <v>38</v>
      </c>
      <c r="P853" t="s">
        <v>71</v>
      </c>
      <c r="Q853" t="s">
        <v>29</v>
      </c>
      <c r="R853" t="s">
        <v>647</v>
      </c>
      <c r="S853">
        <v>11</v>
      </c>
      <c r="T853" t="s">
        <v>634</v>
      </c>
      <c r="U853">
        <v>0.27125637218276227</v>
      </c>
    </row>
    <row r="854" spans="1:21">
      <c r="A854">
        <v>279</v>
      </c>
      <c r="B854" s="1">
        <v>45969</v>
      </c>
      <c r="C854" t="s">
        <v>132</v>
      </c>
      <c r="D854" t="s">
        <v>509</v>
      </c>
      <c r="E854" t="s">
        <v>54</v>
      </c>
      <c r="F854" t="s">
        <v>55</v>
      </c>
      <c r="G854" t="s">
        <v>62</v>
      </c>
      <c r="H854" t="s">
        <v>63</v>
      </c>
      <c r="I854">
        <v>1</v>
      </c>
      <c r="J854">
        <v>98.51</v>
      </c>
      <c r="K854">
        <v>0</v>
      </c>
      <c r="L854">
        <v>98.51</v>
      </c>
      <c r="M854">
        <v>67.2</v>
      </c>
      <c r="N854">
        <v>31.31</v>
      </c>
      <c r="O854" t="s">
        <v>27</v>
      </c>
      <c r="P854" t="s">
        <v>78</v>
      </c>
      <c r="Q854" t="s">
        <v>40</v>
      </c>
      <c r="R854" t="s">
        <v>647</v>
      </c>
      <c r="S854">
        <v>11</v>
      </c>
      <c r="T854" t="s">
        <v>634</v>
      </c>
      <c r="U854">
        <v>0.31783575271546033</v>
      </c>
    </row>
    <row r="855" spans="1:21">
      <c r="A855">
        <v>968</v>
      </c>
      <c r="B855" s="1">
        <v>45970</v>
      </c>
      <c r="C855" t="s">
        <v>164</v>
      </c>
      <c r="D855" t="s">
        <v>421</v>
      </c>
      <c r="E855" t="s">
        <v>76</v>
      </c>
      <c r="F855" t="s">
        <v>77</v>
      </c>
      <c r="G855" t="s">
        <v>62</v>
      </c>
      <c r="H855" t="s">
        <v>63</v>
      </c>
      <c r="I855">
        <v>2</v>
      </c>
      <c r="J855">
        <v>228.64</v>
      </c>
      <c r="K855">
        <v>0.1</v>
      </c>
      <c r="L855">
        <v>411.55</v>
      </c>
      <c r="M855">
        <v>304.01</v>
      </c>
      <c r="N855">
        <v>107.54</v>
      </c>
      <c r="O855" t="s">
        <v>38</v>
      </c>
      <c r="P855" t="s">
        <v>45</v>
      </c>
      <c r="Q855" t="s">
        <v>40</v>
      </c>
      <c r="R855" t="s">
        <v>647</v>
      </c>
      <c r="S855">
        <v>11</v>
      </c>
      <c r="T855" t="s">
        <v>634</v>
      </c>
      <c r="U855">
        <v>0.26130482322925525</v>
      </c>
    </row>
    <row r="856" spans="1:21">
      <c r="A856">
        <v>989</v>
      </c>
      <c r="B856" s="1">
        <v>45970</v>
      </c>
      <c r="C856" t="s">
        <v>307</v>
      </c>
      <c r="D856" t="s">
        <v>495</v>
      </c>
      <c r="E856" t="s">
        <v>34</v>
      </c>
      <c r="F856" t="s">
        <v>49</v>
      </c>
      <c r="G856" t="s">
        <v>69</v>
      </c>
      <c r="H856" t="s">
        <v>70</v>
      </c>
      <c r="I856">
        <v>2</v>
      </c>
      <c r="J856">
        <v>1503.71</v>
      </c>
      <c r="K856">
        <v>0.02</v>
      </c>
      <c r="L856">
        <v>2947.27</v>
      </c>
      <c r="M856">
        <v>2127.9699999999998</v>
      </c>
      <c r="N856">
        <v>819.3</v>
      </c>
      <c r="O856" t="s">
        <v>27</v>
      </c>
      <c r="P856" t="s">
        <v>78</v>
      </c>
      <c r="Q856" t="s">
        <v>46</v>
      </c>
      <c r="R856" t="s">
        <v>647</v>
      </c>
      <c r="S856">
        <v>11</v>
      </c>
      <c r="T856" t="s">
        <v>634</v>
      </c>
      <c r="U856">
        <v>0.27798606846335761</v>
      </c>
    </row>
    <row r="857" spans="1:21">
      <c r="A857">
        <v>28</v>
      </c>
      <c r="B857" s="1">
        <v>45970</v>
      </c>
      <c r="C857" t="s">
        <v>389</v>
      </c>
      <c r="D857" t="s">
        <v>575</v>
      </c>
      <c r="E857" t="s">
        <v>34</v>
      </c>
      <c r="F857" t="s">
        <v>35</v>
      </c>
      <c r="G857" t="s">
        <v>134</v>
      </c>
      <c r="H857" t="s">
        <v>26</v>
      </c>
      <c r="I857">
        <v>2</v>
      </c>
      <c r="J857">
        <v>50081.68</v>
      </c>
      <c r="K857">
        <v>0.1</v>
      </c>
      <c r="L857">
        <v>90147.02</v>
      </c>
      <c r="M857">
        <v>75417.899999999994</v>
      </c>
      <c r="N857">
        <v>14729.12</v>
      </c>
      <c r="O857" t="s">
        <v>27</v>
      </c>
      <c r="P857" t="s">
        <v>28</v>
      </c>
      <c r="Q857" t="s">
        <v>40</v>
      </c>
      <c r="R857" t="s">
        <v>647</v>
      </c>
      <c r="S857">
        <v>11</v>
      </c>
      <c r="T857" t="s">
        <v>634</v>
      </c>
      <c r="U857">
        <v>0.16338998227562043</v>
      </c>
    </row>
    <row r="858" spans="1:21">
      <c r="A858">
        <v>243</v>
      </c>
      <c r="B858" s="1">
        <v>45970</v>
      </c>
      <c r="C858" t="s">
        <v>503</v>
      </c>
      <c r="D858" t="s">
        <v>651</v>
      </c>
      <c r="E858" t="s">
        <v>23</v>
      </c>
      <c r="F858" t="s">
        <v>43</v>
      </c>
      <c r="G858" t="s">
        <v>62</v>
      </c>
      <c r="H858" t="s">
        <v>63</v>
      </c>
      <c r="I858">
        <v>1</v>
      </c>
      <c r="J858">
        <v>265.37</v>
      </c>
      <c r="K858">
        <v>0.05</v>
      </c>
      <c r="L858">
        <v>252.1</v>
      </c>
      <c r="M858">
        <v>204.7</v>
      </c>
      <c r="N858">
        <v>47.4</v>
      </c>
      <c r="O858" t="s">
        <v>27</v>
      </c>
      <c r="P858" t="s">
        <v>28</v>
      </c>
      <c r="Q858" t="s">
        <v>46</v>
      </c>
      <c r="R858" t="s">
        <v>647</v>
      </c>
      <c r="S858">
        <v>11</v>
      </c>
      <c r="T858" t="s">
        <v>634</v>
      </c>
      <c r="U858">
        <v>0.18802062673542244</v>
      </c>
    </row>
    <row r="859" spans="1:21">
      <c r="A859">
        <v>199</v>
      </c>
      <c r="B859" s="1">
        <v>45971</v>
      </c>
      <c r="C859" t="s">
        <v>391</v>
      </c>
      <c r="D859" t="s">
        <v>422</v>
      </c>
      <c r="E859" t="s">
        <v>54</v>
      </c>
      <c r="F859" t="s">
        <v>55</v>
      </c>
      <c r="G859" t="s">
        <v>44</v>
      </c>
      <c r="H859" t="s">
        <v>26</v>
      </c>
      <c r="I859">
        <v>1</v>
      </c>
      <c r="J859">
        <v>67729.81</v>
      </c>
      <c r="K859">
        <v>0.15</v>
      </c>
      <c r="L859">
        <v>57570.34</v>
      </c>
      <c r="M859">
        <v>55128.04</v>
      </c>
      <c r="N859">
        <v>2442.3000000000002</v>
      </c>
      <c r="O859" t="s">
        <v>38</v>
      </c>
      <c r="P859" t="s">
        <v>71</v>
      </c>
      <c r="Q859" t="s">
        <v>40</v>
      </c>
      <c r="R859" t="s">
        <v>647</v>
      </c>
      <c r="S859">
        <v>11</v>
      </c>
      <c r="T859" t="s">
        <v>634</v>
      </c>
      <c r="U859">
        <v>4.2422886507184086E-2</v>
      </c>
    </row>
    <row r="860" spans="1:21">
      <c r="A860">
        <v>39</v>
      </c>
      <c r="B860" s="1">
        <v>45971</v>
      </c>
      <c r="C860" t="s">
        <v>363</v>
      </c>
      <c r="D860" t="s">
        <v>435</v>
      </c>
      <c r="E860" t="s">
        <v>34</v>
      </c>
      <c r="F860" t="s">
        <v>49</v>
      </c>
      <c r="G860" t="s">
        <v>66</v>
      </c>
      <c r="H860" t="s">
        <v>51</v>
      </c>
      <c r="I860">
        <v>1</v>
      </c>
      <c r="J860">
        <v>1785.62</v>
      </c>
      <c r="K860">
        <v>0</v>
      </c>
      <c r="L860">
        <v>1785.62</v>
      </c>
      <c r="M860">
        <v>1337.38</v>
      </c>
      <c r="N860">
        <v>448.24</v>
      </c>
      <c r="O860" t="s">
        <v>38</v>
      </c>
      <c r="P860" t="s">
        <v>78</v>
      </c>
      <c r="Q860" t="s">
        <v>29</v>
      </c>
      <c r="R860" t="s">
        <v>647</v>
      </c>
      <c r="S860">
        <v>11</v>
      </c>
      <c r="T860" t="s">
        <v>634</v>
      </c>
      <c r="U860">
        <v>0.25102765426014495</v>
      </c>
    </row>
    <row r="861" spans="1:21">
      <c r="A861">
        <v>319</v>
      </c>
      <c r="B861" s="1">
        <v>45971</v>
      </c>
      <c r="C861" t="s">
        <v>355</v>
      </c>
      <c r="D861" t="s">
        <v>620</v>
      </c>
      <c r="E861" t="s">
        <v>76</v>
      </c>
      <c r="F861" t="s">
        <v>81</v>
      </c>
      <c r="G861" t="s">
        <v>134</v>
      </c>
      <c r="H861" t="s">
        <v>26</v>
      </c>
      <c r="I861">
        <v>2</v>
      </c>
      <c r="J861">
        <v>20313.47</v>
      </c>
      <c r="K861">
        <v>0.02</v>
      </c>
      <c r="L861">
        <v>39814.400000000001</v>
      </c>
      <c r="M861">
        <v>32928.57</v>
      </c>
      <c r="N861">
        <v>6885.83</v>
      </c>
      <c r="O861" t="s">
        <v>27</v>
      </c>
      <c r="P861" t="s">
        <v>45</v>
      </c>
      <c r="Q861" t="s">
        <v>40</v>
      </c>
      <c r="R861" t="s">
        <v>647</v>
      </c>
      <c r="S861">
        <v>11</v>
      </c>
      <c r="T861" t="s">
        <v>634</v>
      </c>
      <c r="U861">
        <v>0.172948229786208</v>
      </c>
    </row>
    <row r="862" spans="1:21">
      <c r="A862">
        <v>14</v>
      </c>
      <c r="B862" s="1">
        <v>45972</v>
      </c>
      <c r="C862" t="s">
        <v>201</v>
      </c>
      <c r="D862" t="s">
        <v>464</v>
      </c>
      <c r="E862" t="s">
        <v>23</v>
      </c>
      <c r="F862" t="s">
        <v>58</v>
      </c>
      <c r="G862" t="s">
        <v>69</v>
      </c>
      <c r="H862" t="s">
        <v>70</v>
      </c>
      <c r="I862">
        <v>1</v>
      </c>
      <c r="J862">
        <v>2669.58</v>
      </c>
      <c r="K862">
        <v>0.1</v>
      </c>
      <c r="L862">
        <v>2402.62</v>
      </c>
      <c r="M862">
        <v>1824.58</v>
      </c>
      <c r="N862">
        <v>578.04</v>
      </c>
      <c r="O862" t="s">
        <v>27</v>
      </c>
      <c r="P862" t="s">
        <v>28</v>
      </c>
      <c r="Q862" t="s">
        <v>29</v>
      </c>
      <c r="R862" t="s">
        <v>647</v>
      </c>
      <c r="S862">
        <v>11</v>
      </c>
      <c r="T862" t="s">
        <v>634</v>
      </c>
      <c r="U862">
        <v>0.2405873587999767</v>
      </c>
    </row>
    <row r="863" spans="1:21">
      <c r="A863">
        <v>622</v>
      </c>
      <c r="B863" s="1">
        <v>45972</v>
      </c>
      <c r="C863" t="s">
        <v>580</v>
      </c>
      <c r="D863" t="s">
        <v>230</v>
      </c>
      <c r="E863" t="s">
        <v>76</v>
      </c>
      <c r="F863" t="s">
        <v>77</v>
      </c>
      <c r="G863" t="s">
        <v>25</v>
      </c>
      <c r="H863" t="s">
        <v>26</v>
      </c>
      <c r="I863">
        <v>3</v>
      </c>
      <c r="J863">
        <v>9171.14</v>
      </c>
      <c r="K863">
        <v>0.02</v>
      </c>
      <c r="L863">
        <v>26963.15</v>
      </c>
      <c r="M863">
        <v>20126.34</v>
      </c>
      <c r="N863">
        <v>6836.81</v>
      </c>
      <c r="O863" t="s">
        <v>27</v>
      </c>
      <c r="P863" t="s">
        <v>28</v>
      </c>
      <c r="Q863" t="s">
        <v>40</v>
      </c>
      <c r="R863" t="s">
        <v>647</v>
      </c>
      <c r="S863">
        <v>11</v>
      </c>
      <c r="T863" t="s">
        <v>634</v>
      </c>
      <c r="U863">
        <v>0.25356124933474017</v>
      </c>
    </row>
    <row r="864" spans="1:21">
      <c r="A864">
        <v>189</v>
      </c>
      <c r="B864" s="1">
        <v>45972</v>
      </c>
      <c r="C864" t="s">
        <v>597</v>
      </c>
      <c r="D864" t="s">
        <v>110</v>
      </c>
      <c r="E864" t="s">
        <v>23</v>
      </c>
      <c r="F864" t="s">
        <v>24</v>
      </c>
      <c r="G864" t="s">
        <v>44</v>
      </c>
      <c r="H864" t="s">
        <v>26</v>
      </c>
      <c r="I864">
        <v>4</v>
      </c>
      <c r="J864">
        <v>73561.67</v>
      </c>
      <c r="K864">
        <v>0</v>
      </c>
      <c r="L864">
        <v>294246.68</v>
      </c>
      <c r="M864">
        <v>210905.26</v>
      </c>
      <c r="N864">
        <v>83341.42</v>
      </c>
      <c r="O864" t="s">
        <v>27</v>
      </c>
      <c r="P864" t="s">
        <v>78</v>
      </c>
      <c r="Q864" t="s">
        <v>40</v>
      </c>
      <c r="R864" t="s">
        <v>647</v>
      </c>
      <c r="S864">
        <v>11</v>
      </c>
      <c r="T864" t="s">
        <v>634</v>
      </c>
      <c r="U864">
        <v>0.28323656871846437</v>
      </c>
    </row>
    <row r="865" spans="1:21">
      <c r="A865">
        <v>268</v>
      </c>
      <c r="B865" s="1">
        <v>45973</v>
      </c>
      <c r="C865" t="s">
        <v>41</v>
      </c>
      <c r="D865" t="s">
        <v>322</v>
      </c>
      <c r="E865" t="s">
        <v>54</v>
      </c>
      <c r="F865" t="s">
        <v>55</v>
      </c>
      <c r="G865" t="s">
        <v>69</v>
      </c>
      <c r="H865" t="s">
        <v>70</v>
      </c>
      <c r="I865">
        <v>4</v>
      </c>
      <c r="J865">
        <v>1113.26</v>
      </c>
      <c r="K865">
        <v>0.02</v>
      </c>
      <c r="L865">
        <v>4363.9799999999996</v>
      </c>
      <c r="M865">
        <v>3414.61</v>
      </c>
      <c r="N865">
        <v>949.37</v>
      </c>
      <c r="O865" t="s">
        <v>38</v>
      </c>
      <c r="P865" t="s">
        <v>45</v>
      </c>
      <c r="Q865" t="s">
        <v>46</v>
      </c>
      <c r="R865" t="s">
        <v>647</v>
      </c>
      <c r="S865">
        <v>11</v>
      </c>
      <c r="T865" t="s">
        <v>634</v>
      </c>
      <c r="U865">
        <v>0.21754682652074483</v>
      </c>
    </row>
    <row r="866" spans="1:21">
      <c r="A866">
        <v>4</v>
      </c>
      <c r="B866" s="1">
        <v>45973</v>
      </c>
      <c r="C866" t="s">
        <v>601</v>
      </c>
      <c r="D866" t="s">
        <v>650</v>
      </c>
      <c r="E866" t="s">
        <v>23</v>
      </c>
      <c r="F866" t="s">
        <v>58</v>
      </c>
      <c r="G866" t="s">
        <v>105</v>
      </c>
      <c r="H866" t="s">
        <v>26</v>
      </c>
      <c r="I866">
        <v>1</v>
      </c>
      <c r="J866">
        <v>5826.09</v>
      </c>
      <c r="K866">
        <v>0.02</v>
      </c>
      <c r="L866">
        <v>5709.57</v>
      </c>
      <c r="M866">
        <v>5049.53</v>
      </c>
      <c r="N866">
        <v>660.04</v>
      </c>
      <c r="O866" t="s">
        <v>27</v>
      </c>
      <c r="P866" t="s">
        <v>28</v>
      </c>
      <c r="Q866" t="s">
        <v>40</v>
      </c>
      <c r="R866" t="s">
        <v>647</v>
      </c>
      <c r="S866">
        <v>11</v>
      </c>
      <c r="T866" t="s">
        <v>634</v>
      </c>
      <c r="U866">
        <v>0.11560240088132731</v>
      </c>
    </row>
    <row r="867" spans="1:21">
      <c r="A867">
        <v>958</v>
      </c>
      <c r="B867" s="1">
        <v>45973</v>
      </c>
      <c r="C867" t="s">
        <v>153</v>
      </c>
      <c r="D867" t="s">
        <v>467</v>
      </c>
      <c r="E867" t="s">
        <v>76</v>
      </c>
      <c r="F867" t="s">
        <v>81</v>
      </c>
      <c r="G867" t="s">
        <v>134</v>
      </c>
      <c r="H867" t="s">
        <v>26</v>
      </c>
      <c r="I867">
        <v>1</v>
      </c>
      <c r="J867">
        <v>39570.94</v>
      </c>
      <c r="K867">
        <v>0.15</v>
      </c>
      <c r="L867">
        <v>33635.300000000003</v>
      </c>
      <c r="M867">
        <v>34298.54</v>
      </c>
      <c r="N867">
        <v>-663.24</v>
      </c>
      <c r="O867" t="s">
        <v>27</v>
      </c>
      <c r="P867" t="s">
        <v>45</v>
      </c>
      <c r="Q867" t="s">
        <v>40</v>
      </c>
      <c r="R867" t="s">
        <v>647</v>
      </c>
      <c r="S867">
        <v>11</v>
      </c>
      <c r="T867" t="s">
        <v>634</v>
      </c>
      <c r="U867">
        <v>-1.9718569479088933E-2</v>
      </c>
    </row>
    <row r="868" spans="1:21">
      <c r="A868">
        <v>795</v>
      </c>
      <c r="B868" s="1">
        <v>45973</v>
      </c>
      <c r="C868" t="s">
        <v>646</v>
      </c>
      <c r="D868" t="s">
        <v>141</v>
      </c>
      <c r="E868" t="s">
        <v>54</v>
      </c>
      <c r="F868" t="s">
        <v>108</v>
      </c>
      <c r="G868" t="s">
        <v>134</v>
      </c>
      <c r="H868" t="s">
        <v>26</v>
      </c>
      <c r="I868">
        <v>1</v>
      </c>
      <c r="J868">
        <v>27507.24</v>
      </c>
      <c r="K868">
        <v>0.02</v>
      </c>
      <c r="L868">
        <v>26957.1</v>
      </c>
      <c r="M868">
        <v>18650</v>
      </c>
      <c r="N868">
        <v>8307.1</v>
      </c>
      <c r="O868" t="s">
        <v>27</v>
      </c>
      <c r="P868" t="s">
        <v>71</v>
      </c>
      <c r="Q868" t="s">
        <v>46</v>
      </c>
      <c r="R868" t="s">
        <v>647</v>
      </c>
      <c r="S868">
        <v>11</v>
      </c>
      <c r="T868" t="s">
        <v>634</v>
      </c>
      <c r="U868">
        <v>0.30816000237414265</v>
      </c>
    </row>
    <row r="869" spans="1:21">
      <c r="A869">
        <v>392</v>
      </c>
      <c r="B869" s="1">
        <v>45974</v>
      </c>
      <c r="C869" t="s">
        <v>151</v>
      </c>
      <c r="D869" t="s">
        <v>371</v>
      </c>
      <c r="E869" t="s">
        <v>23</v>
      </c>
      <c r="F869" t="s">
        <v>43</v>
      </c>
      <c r="G869" t="s">
        <v>99</v>
      </c>
      <c r="H869" t="s">
        <v>26</v>
      </c>
      <c r="I869">
        <v>1</v>
      </c>
      <c r="J869">
        <v>20563.93</v>
      </c>
      <c r="K869">
        <v>0.1</v>
      </c>
      <c r="L869">
        <v>18507.54</v>
      </c>
      <c r="M869">
        <v>17105.37</v>
      </c>
      <c r="N869">
        <v>1402.17</v>
      </c>
      <c r="O869" t="s">
        <v>38</v>
      </c>
      <c r="P869" t="s">
        <v>39</v>
      </c>
      <c r="Q869" t="s">
        <v>29</v>
      </c>
      <c r="R869" t="s">
        <v>647</v>
      </c>
      <c r="S869">
        <v>11</v>
      </c>
      <c r="T869" t="s">
        <v>634</v>
      </c>
      <c r="U869">
        <v>7.5762094800281399E-2</v>
      </c>
    </row>
    <row r="870" spans="1:21">
      <c r="A870">
        <v>49</v>
      </c>
      <c r="B870" s="1">
        <v>45974</v>
      </c>
      <c r="C870" t="s">
        <v>213</v>
      </c>
      <c r="D870" t="s">
        <v>566</v>
      </c>
      <c r="E870" t="s">
        <v>97</v>
      </c>
      <c r="F870" t="s">
        <v>148</v>
      </c>
      <c r="G870" t="s">
        <v>69</v>
      </c>
      <c r="H870" t="s">
        <v>70</v>
      </c>
      <c r="I870">
        <v>2</v>
      </c>
      <c r="J870">
        <v>3400.7</v>
      </c>
      <c r="K870">
        <v>0.15</v>
      </c>
      <c r="L870">
        <v>5781.19</v>
      </c>
      <c r="M870">
        <v>5931.97</v>
      </c>
      <c r="N870">
        <v>-150.78</v>
      </c>
      <c r="O870" t="s">
        <v>27</v>
      </c>
      <c r="P870" t="s">
        <v>71</v>
      </c>
      <c r="Q870" t="s">
        <v>46</v>
      </c>
      <c r="R870" t="s">
        <v>647</v>
      </c>
      <c r="S870">
        <v>11</v>
      </c>
      <c r="T870" t="s">
        <v>634</v>
      </c>
      <c r="U870">
        <v>-2.6081135544758088E-2</v>
      </c>
    </row>
    <row r="871" spans="1:21">
      <c r="A871">
        <v>24</v>
      </c>
      <c r="B871" s="1">
        <v>45974</v>
      </c>
      <c r="C871" t="s">
        <v>246</v>
      </c>
      <c r="D871" t="s">
        <v>652</v>
      </c>
      <c r="E871" t="s">
        <v>23</v>
      </c>
      <c r="F871" t="s">
        <v>43</v>
      </c>
      <c r="G871" t="s">
        <v>134</v>
      </c>
      <c r="H871" t="s">
        <v>26</v>
      </c>
      <c r="I871">
        <v>1</v>
      </c>
      <c r="J871">
        <v>30952.9</v>
      </c>
      <c r="K871">
        <v>0.1</v>
      </c>
      <c r="L871">
        <v>27857.61</v>
      </c>
      <c r="M871">
        <v>24574.13</v>
      </c>
      <c r="N871">
        <v>3283.48</v>
      </c>
      <c r="O871" t="s">
        <v>38</v>
      </c>
      <c r="P871" t="s">
        <v>28</v>
      </c>
      <c r="Q871" t="s">
        <v>29</v>
      </c>
      <c r="R871" t="s">
        <v>647</v>
      </c>
      <c r="S871">
        <v>11</v>
      </c>
      <c r="T871" t="s">
        <v>634</v>
      </c>
      <c r="U871">
        <v>0.11786653628936582</v>
      </c>
    </row>
    <row r="872" spans="1:21">
      <c r="A872">
        <v>310</v>
      </c>
      <c r="B872" s="1">
        <v>45975</v>
      </c>
      <c r="C872" t="s">
        <v>237</v>
      </c>
      <c r="D872" t="s">
        <v>278</v>
      </c>
      <c r="E872" t="s">
        <v>97</v>
      </c>
      <c r="F872" t="s">
        <v>148</v>
      </c>
      <c r="G872" t="s">
        <v>66</v>
      </c>
      <c r="H872" t="s">
        <v>51</v>
      </c>
      <c r="I872">
        <v>3</v>
      </c>
      <c r="J872">
        <v>1366.35</v>
      </c>
      <c r="K872">
        <v>0.02</v>
      </c>
      <c r="L872">
        <v>4017.07</v>
      </c>
      <c r="M872">
        <v>2662.16</v>
      </c>
      <c r="N872">
        <v>1354.91</v>
      </c>
      <c r="O872" t="s">
        <v>27</v>
      </c>
      <c r="P872" t="s">
        <v>78</v>
      </c>
      <c r="Q872" t="s">
        <v>29</v>
      </c>
      <c r="R872" t="s">
        <v>647</v>
      </c>
      <c r="S872">
        <v>11</v>
      </c>
      <c r="T872" t="s">
        <v>634</v>
      </c>
      <c r="U872">
        <v>0.3372881229353733</v>
      </c>
    </row>
    <row r="873" spans="1:21">
      <c r="A873">
        <v>803</v>
      </c>
      <c r="B873" s="1">
        <v>45975</v>
      </c>
      <c r="C873" t="s">
        <v>612</v>
      </c>
      <c r="D873" t="s">
        <v>631</v>
      </c>
      <c r="E873" t="s">
        <v>76</v>
      </c>
      <c r="F873" t="s">
        <v>77</v>
      </c>
      <c r="G873" t="s">
        <v>105</v>
      </c>
      <c r="H873" t="s">
        <v>26</v>
      </c>
      <c r="I873">
        <v>1</v>
      </c>
      <c r="J873">
        <v>2628.32</v>
      </c>
      <c r="K873">
        <v>0.02</v>
      </c>
      <c r="L873">
        <v>2575.75</v>
      </c>
      <c r="M873">
        <v>1845.91</v>
      </c>
      <c r="N873">
        <v>729.84</v>
      </c>
      <c r="O873" t="s">
        <v>38</v>
      </c>
      <c r="P873" t="s">
        <v>78</v>
      </c>
      <c r="Q873" t="s">
        <v>29</v>
      </c>
      <c r="R873" t="s">
        <v>647</v>
      </c>
      <c r="S873">
        <v>11</v>
      </c>
      <c r="T873" t="s">
        <v>634</v>
      </c>
      <c r="U873">
        <v>0.28335048044258954</v>
      </c>
    </row>
    <row r="874" spans="1:21">
      <c r="A874">
        <v>467</v>
      </c>
      <c r="B874" s="1">
        <v>45975</v>
      </c>
      <c r="C874" t="s">
        <v>93</v>
      </c>
      <c r="D874" t="s">
        <v>310</v>
      </c>
      <c r="E874" t="s">
        <v>34</v>
      </c>
      <c r="F874" t="s">
        <v>35</v>
      </c>
      <c r="G874" t="s">
        <v>145</v>
      </c>
      <c r="H874" t="s">
        <v>70</v>
      </c>
      <c r="I874">
        <v>2</v>
      </c>
      <c r="J874">
        <v>1032.55</v>
      </c>
      <c r="K874">
        <v>0.05</v>
      </c>
      <c r="L874">
        <v>1961.84</v>
      </c>
      <c r="M874">
        <v>1494.21</v>
      </c>
      <c r="N874">
        <v>467.63</v>
      </c>
      <c r="O874" t="s">
        <v>38</v>
      </c>
      <c r="P874" t="s">
        <v>78</v>
      </c>
      <c r="Q874" t="s">
        <v>46</v>
      </c>
      <c r="R874" t="s">
        <v>647</v>
      </c>
      <c r="S874">
        <v>11</v>
      </c>
      <c r="T874" t="s">
        <v>634</v>
      </c>
      <c r="U874">
        <v>0.23836296537943971</v>
      </c>
    </row>
    <row r="875" spans="1:21">
      <c r="A875">
        <v>343</v>
      </c>
      <c r="B875" s="1">
        <v>45975</v>
      </c>
      <c r="C875" t="s">
        <v>408</v>
      </c>
      <c r="D875" t="s">
        <v>92</v>
      </c>
      <c r="E875" t="s">
        <v>97</v>
      </c>
      <c r="F875" t="s">
        <v>148</v>
      </c>
      <c r="G875" t="s">
        <v>134</v>
      </c>
      <c r="H875" t="s">
        <v>26</v>
      </c>
      <c r="I875">
        <v>1</v>
      </c>
      <c r="J875">
        <v>22945.07</v>
      </c>
      <c r="K875">
        <v>0.02</v>
      </c>
      <c r="L875">
        <v>22486.17</v>
      </c>
      <c r="M875">
        <v>16915.150000000001</v>
      </c>
      <c r="N875">
        <v>5571.02</v>
      </c>
      <c r="O875" t="s">
        <v>27</v>
      </c>
      <c r="P875" t="s">
        <v>28</v>
      </c>
      <c r="Q875" t="s">
        <v>46</v>
      </c>
      <c r="R875" t="s">
        <v>647</v>
      </c>
      <c r="S875">
        <v>11</v>
      </c>
      <c r="T875" t="s">
        <v>634</v>
      </c>
      <c r="U875">
        <v>0.24775317450681911</v>
      </c>
    </row>
    <row r="876" spans="1:21">
      <c r="A876">
        <v>658</v>
      </c>
      <c r="B876" s="1">
        <v>45975</v>
      </c>
      <c r="C876" t="s">
        <v>351</v>
      </c>
      <c r="D876" t="s">
        <v>339</v>
      </c>
      <c r="E876" t="s">
        <v>97</v>
      </c>
      <c r="F876" t="s">
        <v>104</v>
      </c>
      <c r="G876" t="s">
        <v>66</v>
      </c>
      <c r="H876" t="s">
        <v>51</v>
      </c>
      <c r="I876">
        <v>1</v>
      </c>
      <c r="J876">
        <v>2165.5500000000002</v>
      </c>
      <c r="K876">
        <v>0.15</v>
      </c>
      <c r="L876">
        <v>1840.72</v>
      </c>
      <c r="M876">
        <v>1645.63</v>
      </c>
      <c r="N876">
        <v>195.09</v>
      </c>
      <c r="O876" t="s">
        <v>38</v>
      </c>
      <c r="P876" t="s">
        <v>45</v>
      </c>
      <c r="Q876" t="s">
        <v>46</v>
      </c>
      <c r="R876" t="s">
        <v>647</v>
      </c>
      <c r="S876">
        <v>11</v>
      </c>
      <c r="T876" t="s">
        <v>634</v>
      </c>
      <c r="U876">
        <v>0.105985701247338</v>
      </c>
    </row>
    <row r="877" spans="1:21">
      <c r="A877">
        <v>871</v>
      </c>
      <c r="B877" s="1">
        <v>45976</v>
      </c>
      <c r="C877" t="s">
        <v>414</v>
      </c>
      <c r="D877" t="s">
        <v>627</v>
      </c>
      <c r="E877" t="s">
        <v>34</v>
      </c>
      <c r="F877" t="s">
        <v>35</v>
      </c>
      <c r="G877" t="s">
        <v>99</v>
      </c>
      <c r="H877" t="s">
        <v>26</v>
      </c>
      <c r="I877">
        <v>2</v>
      </c>
      <c r="J877">
        <v>25212.67</v>
      </c>
      <c r="K877">
        <v>0</v>
      </c>
      <c r="L877">
        <v>50425.34</v>
      </c>
      <c r="M877">
        <v>33499.46</v>
      </c>
      <c r="N877">
        <v>16925.88</v>
      </c>
      <c r="O877" t="s">
        <v>27</v>
      </c>
      <c r="P877" t="s">
        <v>78</v>
      </c>
      <c r="Q877" t="s">
        <v>46</v>
      </c>
      <c r="R877" t="s">
        <v>647</v>
      </c>
      <c r="S877">
        <v>11</v>
      </c>
      <c r="T877" t="s">
        <v>634</v>
      </c>
      <c r="U877">
        <v>0.33566218889153754</v>
      </c>
    </row>
    <row r="878" spans="1:21">
      <c r="A878">
        <v>615</v>
      </c>
      <c r="B878" s="1">
        <v>45976</v>
      </c>
      <c r="C878" t="s">
        <v>123</v>
      </c>
      <c r="D878" t="s">
        <v>152</v>
      </c>
      <c r="E878" t="s">
        <v>34</v>
      </c>
      <c r="F878" t="s">
        <v>35</v>
      </c>
      <c r="G878" t="s">
        <v>134</v>
      </c>
      <c r="H878" t="s">
        <v>26</v>
      </c>
      <c r="I878">
        <v>1</v>
      </c>
      <c r="J878">
        <v>41056.1</v>
      </c>
      <c r="K878">
        <v>0.02</v>
      </c>
      <c r="L878">
        <v>40234.980000000003</v>
      </c>
      <c r="M878">
        <v>32892.35</v>
      </c>
      <c r="N878">
        <v>7342.63</v>
      </c>
      <c r="O878" t="s">
        <v>38</v>
      </c>
      <c r="P878" t="s">
        <v>45</v>
      </c>
      <c r="Q878" t="s">
        <v>40</v>
      </c>
      <c r="R878" t="s">
        <v>647</v>
      </c>
      <c r="S878">
        <v>11</v>
      </c>
      <c r="T878" t="s">
        <v>634</v>
      </c>
      <c r="U878">
        <v>0.18249369081331715</v>
      </c>
    </row>
    <row r="879" spans="1:21">
      <c r="A879">
        <v>364</v>
      </c>
      <c r="B879" s="1">
        <v>45976</v>
      </c>
      <c r="C879" t="s">
        <v>454</v>
      </c>
      <c r="D879" t="s">
        <v>207</v>
      </c>
      <c r="E879" t="s">
        <v>76</v>
      </c>
      <c r="F879" t="s">
        <v>113</v>
      </c>
      <c r="G879" t="s">
        <v>134</v>
      </c>
      <c r="H879" t="s">
        <v>26</v>
      </c>
      <c r="I879">
        <v>1</v>
      </c>
      <c r="J879">
        <v>42686.86</v>
      </c>
      <c r="K879">
        <v>0.02</v>
      </c>
      <c r="L879">
        <v>41833.120000000003</v>
      </c>
      <c r="M879">
        <v>29949.43</v>
      </c>
      <c r="N879">
        <v>11883.69</v>
      </c>
      <c r="O879" t="s">
        <v>38</v>
      </c>
      <c r="P879" t="s">
        <v>28</v>
      </c>
      <c r="Q879" t="s">
        <v>40</v>
      </c>
      <c r="R879" t="s">
        <v>647</v>
      </c>
      <c r="S879">
        <v>11</v>
      </c>
      <c r="T879" t="s">
        <v>634</v>
      </c>
      <c r="U879">
        <v>0.28407371957912775</v>
      </c>
    </row>
    <row r="880" spans="1:21">
      <c r="A880">
        <v>829</v>
      </c>
      <c r="B880" s="1">
        <v>45976</v>
      </c>
      <c r="C880" t="s">
        <v>466</v>
      </c>
      <c r="D880" t="s">
        <v>585</v>
      </c>
      <c r="E880" t="s">
        <v>34</v>
      </c>
      <c r="F880" t="s">
        <v>49</v>
      </c>
      <c r="G880" t="s">
        <v>44</v>
      </c>
      <c r="H880" t="s">
        <v>26</v>
      </c>
      <c r="I880">
        <v>3</v>
      </c>
      <c r="J880">
        <v>69173.62</v>
      </c>
      <c r="K880">
        <v>0.05</v>
      </c>
      <c r="L880">
        <v>197144.82</v>
      </c>
      <c r="M880">
        <v>178359.63</v>
      </c>
      <c r="N880">
        <v>18785.189999999999</v>
      </c>
      <c r="O880" t="s">
        <v>38</v>
      </c>
      <c r="P880" t="s">
        <v>45</v>
      </c>
      <c r="Q880" t="s">
        <v>29</v>
      </c>
      <c r="R880" t="s">
        <v>647</v>
      </c>
      <c r="S880">
        <v>11</v>
      </c>
      <c r="T880" t="s">
        <v>634</v>
      </c>
      <c r="U880">
        <v>9.5286246932584875E-2</v>
      </c>
    </row>
    <row r="881" spans="1:21">
      <c r="A881">
        <v>890</v>
      </c>
      <c r="B881" s="1">
        <v>45977</v>
      </c>
      <c r="C881" t="s">
        <v>119</v>
      </c>
      <c r="D881" t="s">
        <v>396</v>
      </c>
      <c r="E881" t="s">
        <v>54</v>
      </c>
      <c r="F881" t="s">
        <v>55</v>
      </c>
      <c r="G881" t="s">
        <v>59</v>
      </c>
      <c r="H881" t="s">
        <v>37</v>
      </c>
      <c r="I881">
        <v>4</v>
      </c>
      <c r="J881">
        <v>8668.02</v>
      </c>
      <c r="K881">
        <v>0.02</v>
      </c>
      <c r="L881">
        <v>33978.639999999999</v>
      </c>
      <c r="M881">
        <v>28114.17</v>
      </c>
      <c r="N881">
        <v>5864.47</v>
      </c>
      <c r="O881" t="s">
        <v>38</v>
      </c>
      <c r="P881" t="s">
        <v>39</v>
      </c>
      <c r="Q881" t="s">
        <v>40</v>
      </c>
      <c r="R881" t="s">
        <v>647</v>
      </c>
      <c r="S881">
        <v>11</v>
      </c>
      <c r="T881" t="s">
        <v>634</v>
      </c>
      <c r="U881">
        <v>0.17259284067873229</v>
      </c>
    </row>
    <row r="882" spans="1:21">
      <c r="A882">
        <v>737</v>
      </c>
      <c r="B882" s="1">
        <v>45977</v>
      </c>
      <c r="C882" t="s">
        <v>653</v>
      </c>
      <c r="D882" t="s">
        <v>110</v>
      </c>
      <c r="E882" t="s">
        <v>23</v>
      </c>
      <c r="F882" t="s">
        <v>24</v>
      </c>
      <c r="G882" t="s">
        <v>59</v>
      </c>
      <c r="H882" t="s">
        <v>37</v>
      </c>
      <c r="I882">
        <v>1</v>
      </c>
      <c r="J882">
        <v>7139.52</v>
      </c>
      <c r="K882">
        <v>0.02</v>
      </c>
      <c r="L882">
        <v>6996.73</v>
      </c>
      <c r="M882">
        <v>5947.59</v>
      </c>
      <c r="N882">
        <v>1049.1400000000001</v>
      </c>
      <c r="O882" t="s">
        <v>27</v>
      </c>
      <c r="P882" t="s">
        <v>39</v>
      </c>
      <c r="Q882" t="s">
        <v>29</v>
      </c>
      <c r="R882" t="s">
        <v>647</v>
      </c>
      <c r="S882">
        <v>11</v>
      </c>
      <c r="T882" t="s">
        <v>634</v>
      </c>
      <c r="U882">
        <v>0.14994718961572051</v>
      </c>
    </row>
    <row r="883" spans="1:21">
      <c r="A883">
        <v>128</v>
      </c>
      <c r="B883" s="1">
        <v>45977</v>
      </c>
      <c r="C883" t="s">
        <v>599</v>
      </c>
      <c r="D883" t="s">
        <v>65</v>
      </c>
      <c r="E883" t="s">
        <v>23</v>
      </c>
      <c r="F883" t="s">
        <v>43</v>
      </c>
      <c r="G883" t="s">
        <v>44</v>
      </c>
      <c r="H883" t="s">
        <v>26</v>
      </c>
      <c r="I883">
        <v>3</v>
      </c>
      <c r="J883">
        <v>61414.85</v>
      </c>
      <c r="K883">
        <v>0.02</v>
      </c>
      <c r="L883">
        <v>180559.66</v>
      </c>
      <c r="M883">
        <v>124440.1</v>
      </c>
      <c r="N883">
        <v>56119.56</v>
      </c>
      <c r="O883" t="s">
        <v>27</v>
      </c>
      <c r="P883" t="s">
        <v>45</v>
      </c>
      <c r="Q883" t="s">
        <v>46</v>
      </c>
      <c r="R883" t="s">
        <v>647</v>
      </c>
      <c r="S883">
        <v>11</v>
      </c>
      <c r="T883" t="s">
        <v>634</v>
      </c>
      <c r="U883">
        <v>0.31080895921049029</v>
      </c>
    </row>
    <row r="884" spans="1:21">
      <c r="A884">
        <v>687</v>
      </c>
      <c r="B884" s="1">
        <v>45977</v>
      </c>
      <c r="C884" t="s">
        <v>574</v>
      </c>
      <c r="D884" t="s">
        <v>179</v>
      </c>
      <c r="E884" t="s">
        <v>76</v>
      </c>
      <c r="F884" t="s">
        <v>113</v>
      </c>
      <c r="G884" t="s">
        <v>62</v>
      </c>
      <c r="H884" t="s">
        <v>63</v>
      </c>
      <c r="I884">
        <v>1</v>
      </c>
      <c r="J884">
        <v>319.23</v>
      </c>
      <c r="K884">
        <v>0</v>
      </c>
      <c r="L884">
        <v>319.23</v>
      </c>
      <c r="M884">
        <v>258.08999999999997</v>
      </c>
      <c r="N884">
        <v>61.14</v>
      </c>
      <c r="O884" t="s">
        <v>38</v>
      </c>
      <c r="P884" t="s">
        <v>78</v>
      </c>
      <c r="Q884" t="s">
        <v>29</v>
      </c>
      <c r="R884" t="s">
        <v>647</v>
      </c>
      <c r="S884">
        <v>11</v>
      </c>
      <c r="T884" t="s">
        <v>634</v>
      </c>
      <c r="U884">
        <v>0.19152335306832063</v>
      </c>
    </row>
    <row r="885" spans="1:21">
      <c r="A885">
        <v>387</v>
      </c>
      <c r="B885" s="1">
        <v>45978</v>
      </c>
      <c r="C885" t="s">
        <v>346</v>
      </c>
      <c r="D885" t="s">
        <v>120</v>
      </c>
      <c r="E885" t="s">
        <v>34</v>
      </c>
      <c r="F885" t="s">
        <v>35</v>
      </c>
      <c r="G885" t="s">
        <v>99</v>
      </c>
      <c r="H885" t="s">
        <v>26</v>
      </c>
      <c r="I885">
        <v>1</v>
      </c>
      <c r="J885">
        <v>9572.25</v>
      </c>
      <c r="K885">
        <v>0.15</v>
      </c>
      <c r="L885">
        <v>8136.41</v>
      </c>
      <c r="M885">
        <v>7462.84</v>
      </c>
      <c r="N885">
        <v>673.57</v>
      </c>
      <c r="O885" t="s">
        <v>27</v>
      </c>
      <c r="P885" t="s">
        <v>45</v>
      </c>
      <c r="Q885" t="s">
        <v>29</v>
      </c>
      <c r="R885" t="s">
        <v>647</v>
      </c>
      <c r="S885">
        <v>11</v>
      </c>
      <c r="T885" t="s">
        <v>634</v>
      </c>
      <c r="U885">
        <v>8.2784667930942524E-2</v>
      </c>
    </row>
    <row r="886" spans="1:21">
      <c r="A886">
        <v>547</v>
      </c>
      <c r="B886" s="1">
        <v>45978</v>
      </c>
      <c r="C886" t="s">
        <v>189</v>
      </c>
      <c r="D886" t="s">
        <v>294</v>
      </c>
      <c r="E886" t="s">
        <v>54</v>
      </c>
      <c r="F886" t="s">
        <v>127</v>
      </c>
      <c r="G886" t="s">
        <v>105</v>
      </c>
      <c r="H886" t="s">
        <v>26</v>
      </c>
      <c r="I886">
        <v>1</v>
      </c>
      <c r="J886">
        <v>5120.12</v>
      </c>
      <c r="K886">
        <v>0.15</v>
      </c>
      <c r="L886">
        <v>4352.1000000000004</v>
      </c>
      <c r="M886">
        <v>4252.74</v>
      </c>
      <c r="N886">
        <v>99.36</v>
      </c>
      <c r="O886" t="s">
        <v>38</v>
      </c>
      <c r="P886" t="s">
        <v>45</v>
      </c>
      <c r="Q886" t="s">
        <v>46</v>
      </c>
      <c r="R886" t="s">
        <v>647</v>
      </c>
      <c r="S886">
        <v>11</v>
      </c>
      <c r="T886" t="s">
        <v>634</v>
      </c>
      <c r="U886">
        <v>2.2830357758323566E-2</v>
      </c>
    </row>
    <row r="887" spans="1:21">
      <c r="A887">
        <v>974</v>
      </c>
      <c r="B887" s="1">
        <v>45980</v>
      </c>
      <c r="C887" t="s">
        <v>142</v>
      </c>
      <c r="D887" t="s">
        <v>404</v>
      </c>
      <c r="E887" t="s">
        <v>97</v>
      </c>
      <c r="F887" t="s">
        <v>148</v>
      </c>
      <c r="G887" t="s">
        <v>66</v>
      </c>
      <c r="H887" t="s">
        <v>51</v>
      </c>
      <c r="I887">
        <v>3</v>
      </c>
      <c r="J887">
        <v>1307.28</v>
      </c>
      <c r="K887">
        <v>0.15</v>
      </c>
      <c r="L887">
        <v>3333.56</v>
      </c>
      <c r="M887">
        <v>2844.92</v>
      </c>
      <c r="N887">
        <v>488.64</v>
      </c>
      <c r="O887" t="s">
        <v>38</v>
      </c>
      <c r="P887" t="s">
        <v>71</v>
      </c>
      <c r="Q887" t="s">
        <v>40</v>
      </c>
      <c r="R887" t="s">
        <v>647</v>
      </c>
      <c r="S887">
        <v>11</v>
      </c>
      <c r="T887" t="s">
        <v>634</v>
      </c>
      <c r="U887">
        <v>0.14658203242179532</v>
      </c>
    </row>
    <row r="888" spans="1:21">
      <c r="A888">
        <v>257</v>
      </c>
      <c r="B888" s="1">
        <v>45980</v>
      </c>
      <c r="C888" t="s">
        <v>615</v>
      </c>
      <c r="D888" t="s">
        <v>608</v>
      </c>
      <c r="E888" t="s">
        <v>76</v>
      </c>
      <c r="F888" t="s">
        <v>113</v>
      </c>
      <c r="G888" t="s">
        <v>59</v>
      </c>
      <c r="H888" t="s">
        <v>37</v>
      </c>
      <c r="I888">
        <v>3</v>
      </c>
      <c r="J888">
        <v>5248.51</v>
      </c>
      <c r="K888">
        <v>0.15</v>
      </c>
      <c r="L888">
        <v>13383.7</v>
      </c>
      <c r="M888">
        <v>9887.2900000000009</v>
      </c>
      <c r="N888">
        <v>3496.41</v>
      </c>
      <c r="O888" t="s">
        <v>27</v>
      </c>
      <c r="P888" t="s">
        <v>71</v>
      </c>
      <c r="Q888" t="s">
        <v>40</v>
      </c>
      <c r="R888" t="s">
        <v>647</v>
      </c>
      <c r="S888">
        <v>11</v>
      </c>
      <c r="T888" t="s">
        <v>634</v>
      </c>
      <c r="U888">
        <v>0.26124390116335539</v>
      </c>
    </row>
    <row r="889" spans="1:21">
      <c r="A889">
        <v>83</v>
      </c>
      <c r="B889" s="1">
        <v>45981</v>
      </c>
      <c r="C889" t="s">
        <v>341</v>
      </c>
      <c r="D889" t="s">
        <v>271</v>
      </c>
      <c r="E889" t="s">
        <v>97</v>
      </c>
      <c r="F889" t="s">
        <v>104</v>
      </c>
      <c r="G889" t="s">
        <v>36</v>
      </c>
      <c r="H889" t="s">
        <v>37</v>
      </c>
      <c r="I889">
        <v>2</v>
      </c>
      <c r="J889">
        <v>14465.49</v>
      </c>
      <c r="K889">
        <v>0.1</v>
      </c>
      <c r="L889">
        <v>26037.88</v>
      </c>
      <c r="M889">
        <v>22188.17</v>
      </c>
      <c r="N889">
        <v>3849.71</v>
      </c>
      <c r="O889" t="s">
        <v>27</v>
      </c>
      <c r="P889" t="s">
        <v>45</v>
      </c>
      <c r="Q889" t="s">
        <v>29</v>
      </c>
      <c r="R889" t="s">
        <v>647</v>
      </c>
      <c r="S889">
        <v>11</v>
      </c>
      <c r="T889" t="s">
        <v>634</v>
      </c>
      <c r="U889">
        <v>0.14785036262552864</v>
      </c>
    </row>
    <row r="890" spans="1:21">
      <c r="A890">
        <v>526</v>
      </c>
      <c r="B890" s="1">
        <v>45982</v>
      </c>
      <c r="C890" t="s">
        <v>373</v>
      </c>
      <c r="D890" t="s">
        <v>474</v>
      </c>
      <c r="E890" t="s">
        <v>97</v>
      </c>
      <c r="F890" t="s">
        <v>148</v>
      </c>
      <c r="G890" t="s">
        <v>69</v>
      </c>
      <c r="H890" t="s">
        <v>70</v>
      </c>
      <c r="I890">
        <v>1</v>
      </c>
      <c r="J890">
        <v>1614.89</v>
      </c>
      <c r="K890">
        <v>0.1</v>
      </c>
      <c r="L890">
        <v>1453.4</v>
      </c>
      <c r="M890">
        <v>1213.42</v>
      </c>
      <c r="N890">
        <v>239.98</v>
      </c>
      <c r="O890" t="s">
        <v>27</v>
      </c>
      <c r="P890" t="s">
        <v>39</v>
      </c>
      <c r="Q890" t="s">
        <v>29</v>
      </c>
      <c r="R890" t="s">
        <v>647</v>
      </c>
      <c r="S890">
        <v>11</v>
      </c>
      <c r="T890" t="s">
        <v>634</v>
      </c>
      <c r="U890">
        <v>0.16511627906976742</v>
      </c>
    </row>
    <row r="891" spans="1:21">
      <c r="A891">
        <v>423</v>
      </c>
      <c r="B891" s="1">
        <v>45982</v>
      </c>
      <c r="C891" t="s">
        <v>654</v>
      </c>
      <c r="D891" t="s">
        <v>139</v>
      </c>
      <c r="E891" t="s">
        <v>54</v>
      </c>
      <c r="F891" t="s">
        <v>55</v>
      </c>
      <c r="G891" t="s">
        <v>69</v>
      </c>
      <c r="H891" t="s">
        <v>70</v>
      </c>
      <c r="I891">
        <v>3</v>
      </c>
      <c r="J891">
        <v>2189.0500000000002</v>
      </c>
      <c r="K891">
        <v>0</v>
      </c>
      <c r="L891">
        <v>6567.15</v>
      </c>
      <c r="M891">
        <v>4727.37</v>
      </c>
      <c r="N891">
        <v>1839.78</v>
      </c>
      <c r="O891" t="s">
        <v>27</v>
      </c>
      <c r="P891" t="s">
        <v>28</v>
      </c>
      <c r="Q891" t="s">
        <v>46</v>
      </c>
      <c r="R891" t="s">
        <v>647</v>
      </c>
      <c r="S891">
        <v>11</v>
      </c>
      <c r="T891" t="s">
        <v>634</v>
      </c>
      <c r="U891">
        <v>0.28014892304881112</v>
      </c>
    </row>
    <row r="892" spans="1:21">
      <c r="A892">
        <v>874</v>
      </c>
      <c r="B892" s="1">
        <v>45982</v>
      </c>
      <c r="C892" t="s">
        <v>263</v>
      </c>
      <c r="D892" t="s">
        <v>196</v>
      </c>
      <c r="E892" t="s">
        <v>54</v>
      </c>
      <c r="F892" t="s">
        <v>55</v>
      </c>
      <c r="G892" t="s">
        <v>44</v>
      </c>
      <c r="H892" t="s">
        <v>26</v>
      </c>
      <c r="I892">
        <v>4</v>
      </c>
      <c r="J892">
        <v>71092.83</v>
      </c>
      <c r="K892">
        <v>0.02</v>
      </c>
      <c r="L892">
        <v>278683.89</v>
      </c>
      <c r="M892">
        <v>232708.94</v>
      </c>
      <c r="N892">
        <v>45974.95</v>
      </c>
      <c r="O892" t="s">
        <v>38</v>
      </c>
      <c r="P892" t="s">
        <v>39</v>
      </c>
      <c r="Q892" t="s">
        <v>46</v>
      </c>
      <c r="R892" t="s">
        <v>647</v>
      </c>
      <c r="S892">
        <v>11</v>
      </c>
      <c r="T892" t="s">
        <v>634</v>
      </c>
      <c r="U892">
        <v>0.164971681714361</v>
      </c>
    </row>
    <row r="893" spans="1:21">
      <c r="A893">
        <v>229</v>
      </c>
      <c r="B893" s="1">
        <v>45982</v>
      </c>
      <c r="C893" t="s">
        <v>286</v>
      </c>
      <c r="D893" t="s">
        <v>137</v>
      </c>
      <c r="E893" t="s">
        <v>54</v>
      </c>
      <c r="F893" t="s">
        <v>55</v>
      </c>
      <c r="G893" t="s">
        <v>50</v>
      </c>
      <c r="H893" t="s">
        <v>51</v>
      </c>
      <c r="I893">
        <v>1</v>
      </c>
      <c r="J893">
        <v>1494.53</v>
      </c>
      <c r="K893">
        <v>0.15</v>
      </c>
      <c r="L893">
        <v>1270.3499999999999</v>
      </c>
      <c r="M893">
        <v>1129.23</v>
      </c>
      <c r="N893">
        <v>141.12</v>
      </c>
      <c r="O893" t="s">
        <v>38</v>
      </c>
      <c r="P893" t="s">
        <v>71</v>
      </c>
      <c r="Q893" t="s">
        <v>29</v>
      </c>
      <c r="R893" t="s">
        <v>647</v>
      </c>
      <c r="S893">
        <v>11</v>
      </c>
      <c r="T893" t="s">
        <v>634</v>
      </c>
      <c r="U893">
        <v>0.11108749557208644</v>
      </c>
    </row>
    <row r="894" spans="1:21">
      <c r="A894">
        <v>245</v>
      </c>
      <c r="B894" s="1">
        <v>45982</v>
      </c>
      <c r="C894" t="s">
        <v>655</v>
      </c>
      <c r="D894" t="s">
        <v>556</v>
      </c>
      <c r="E894" t="s">
        <v>23</v>
      </c>
      <c r="F894" t="s">
        <v>43</v>
      </c>
      <c r="G894" t="s">
        <v>50</v>
      </c>
      <c r="H894" t="s">
        <v>51</v>
      </c>
      <c r="I894">
        <v>1</v>
      </c>
      <c r="J894">
        <v>791.55</v>
      </c>
      <c r="K894">
        <v>0</v>
      </c>
      <c r="L894">
        <v>791.55</v>
      </c>
      <c r="M894">
        <v>630.11</v>
      </c>
      <c r="N894">
        <v>161.44</v>
      </c>
      <c r="O894" t="s">
        <v>27</v>
      </c>
      <c r="P894" t="s">
        <v>78</v>
      </c>
      <c r="Q894" t="s">
        <v>40</v>
      </c>
      <c r="R894" t="s">
        <v>647</v>
      </c>
      <c r="S894">
        <v>11</v>
      </c>
      <c r="T894" t="s">
        <v>634</v>
      </c>
      <c r="U894">
        <v>0.20395426694460236</v>
      </c>
    </row>
    <row r="895" spans="1:21">
      <c r="A895">
        <v>937</v>
      </c>
      <c r="B895" s="1">
        <v>45982</v>
      </c>
      <c r="C895" t="s">
        <v>656</v>
      </c>
      <c r="D895" t="s">
        <v>573</v>
      </c>
      <c r="E895" t="s">
        <v>23</v>
      </c>
      <c r="F895" t="s">
        <v>58</v>
      </c>
      <c r="G895" t="s">
        <v>69</v>
      </c>
      <c r="H895" t="s">
        <v>70</v>
      </c>
      <c r="I895">
        <v>1</v>
      </c>
      <c r="J895">
        <v>1237.31</v>
      </c>
      <c r="K895">
        <v>0.05</v>
      </c>
      <c r="L895">
        <v>1175.44</v>
      </c>
      <c r="M895">
        <v>887.89</v>
      </c>
      <c r="N895">
        <v>287.55</v>
      </c>
      <c r="O895" t="s">
        <v>38</v>
      </c>
      <c r="P895" t="s">
        <v>39</v>
      </c>
      <c r="Q895" t="s">
        <v>46</v>
      </c>
      <c r="R895" t="s">
        <v>647</v>
      </c>
      <c r="S895">
        <v>11</v>
      </c>
      <c r="T895" t="s">
        <v>634</v>
      </c>
      <c r="U895">
        <v>0.2446317974545702</v>
      </c>
    </row>
    <row r="896" spans="1:21">
      <c r="A896">
        <v>544</v>
      </c>
      <c r="B896" s="1">
        <v>45982</v>
      </c>
      <c r="C896" t="s">
        <v>56</v>
      </c>
      <c r="D896" t="s">
        <v>298</v>
      </c>
      <c r="E896" t="s">
        <v>54</v>
      </c>
      <c r="F896" t="s">
        <v>127</v>
      </c>
      <c r="G896" t="s">
        <v>44</v>
      </c>
      <c r="H896" t="s">
        <v>26</v>
      </c>
      <c r="I896">
        <v>1</v>
      </c>
      <c r="J896">
        <v>55480.82</v>
      </c>
      <c r="K896">
        <v>0.1</v>
      </c>
      <c r="L896">
        <v>49932.74</v>
      </c>
      <c r="M896">
        <v>45198.09</v>
      </c>
      <c r="N896">
        <v>4734.6499999999996</v>
      </c>
      <c r="O896" t="s">
        <v>38</v>
      </c>
      <c r="P896" t="s">
        <v>28</v>
      </c>
      <c r="Q896" t="s">
        <v>46</v>
      </c>
      <c r="R896" t="s">
        <v>647</v>
      </c>
      <c r="S896">
        <v>11</v>
      </c>
      <c r="T896" t="s">
        <v>634</v>
      </c>
      <c r="U896">
        <v>9.4820552607367423E-2</v>
      </c>
    </row>
    <row r="897" spans="1:21">
      <c r="A897">
        <v>561</v>
      </c>
      <c r="B897" s="1">
        <v>45983</v>
      </c>
      <c r="C897" t="s">
        <v>292</v>
      </c>
      <c r="D897" t="s">
        <v>643</v>
      </c>
      <c r="E897" t="s">
        <v>34</v>
      </c>
      <c r="F897" t="s">
        <v>49</v>
      </c>
      <c r="G897" t="s">
        <v>25</v>
      </c>
      <c r="H897" t="s">
        <v>26</v>
      </c>
      <c r="I897">
        <v>4</v>
      </c>
      <c r="J897">
        <v>14863.67</v>
      </c>
      <c r="K897">
        <v>0</v>
      </c>
      <c r="L897">
        <v>59454.68</v>
      </c>
      <c r="M897">
        <v>43896.56</v>
      </c>
      <c r="N897">
        <v>15558.12</v>
      </c>
      <c r="O897" t="s">
        <v>27</v>
      </c>
      <c r="P897" t="s">
        <v>45</v>
      </c>
      <c r="Q897" t="s">
        <v>40</v>
      </c>
      <c r="R897" t="s">
        <v>647</v>
      </c>
      <c r="S897">
        <v>11</v>
      </c>
      <c r="T897" t="s">
        <v>634</v>
      </c>
      <c r="U897">
        <v>0.26168032524941687</v>
      </c>
    </row>
    <row r="898" spans="1:21">
      <c r="A898">
        <v>945</v>
      </c>
      <c r="B898" s="1">
        <v>45983</v>
      </c>
      <c r="C898" t="s">
        <v>552</v>
      </c>
      <c r="D898" t="s">
        <v>101</v>
      </c>
      <c r="E898" t="s">
        <v>76</v>
      </c>
      <c r="F898" t="s">
        <v>113</v>
      </c>
      <c r="G898" t="s">
        <v>134</v>
      </c>
      <c r="H898" t="s">
        <v>26</v>
      </c>
      <c r="I898">
        <v>4</v>
      </c>
      <c r="J898">
        <v>39225.17</v>
      </c>
      <c r="K898">
        <v>0</v>
      </c>
      <c r="L898">
        <v>156900.68</v>
      </c>
      <c r="M898">
        <v>122975.51</v>
      </c>
      <c r="N898">
        <v>33925.17</v>
      </c>
      <c r="O898" t="s">
        <v>27</v>
      </c>
      <c r="P898" t="s">
        <v>78</v>
      </c>
      <c r="Q898" t="s">
        <v>29</v>
      </c>
      <c r="R898" t="s">
        <v>647</v>
      </c>
      <c r="S898">
        <v>11</v>
      </c>
      <c r="T898" t="s">
        <v>634</v>
      </c>
      <c r="U898">
        <v>0.21622066902450646</v>
      </c>
    </row>
    <row r="899" spans="1:21">
      <c r="A899">
        <v>553</v>
      </c>
      <c r="B899" s="1">
        <v>45983</v>
      </c>
      <c r="C899" t="s">
        <v>527</v>
      </c>
      <c r="D899" t="s">
        <v>147</v>
      </c>
      <c r="E899" t="s">
        <v>34</v>
      </c>
      <c r="F899" t="s">
        <v>49</v>
      </c>
      <c r="G899" t="s">
        <v>66</v>
      </c>
      <c r="H899" t="s">
        <v>51</v>
      </c>
      <c r="I899">
        <v>1</v>
      </c>
      <c r="J899">
        <v>1623.5</v>
      </c>
      <c r="K899">
        <v>0.1</v>
      </c>
      <c r="L899">
        <v>1461.15</v>
      </c>
      <c r="M899">
        <v>1296.6400000000001</v>
      </c>
      <c r="N899">
        <v>164.51</v>
      </c>
      <c r="O899" t="s">
        <v>27</v>
      </c>
      <c r="P899" t="s">
        <v>45</v>
      </c>
      <c r="Q899" t="s">
        <v>46</v>
      </c>
      <c r="R899" t="s">
        <v>647</v>
      </c>
      <c r="S899">
        <v>11</v>
      </c>
      <c r="T899" t="s">
        <v>634</v>
      </c>
      <c r="U899">
        <v>0.11258939876124968</v>
      </c>
    </row>
    <row r="900" spans="1:21">
      <c r="A900">
        <v>806</v>
      </c>
      <c r="B900" s="1">
        <v>45984</v>
      </c>
      <c r="C900" t="s">
        <v>457</v>
      </c>
      <c r="D900" t="s">
        <v>228</v>
      </c>
      <c r="E900" t="s">
        <v>97</v>
      </c>
      <c r="F900" t="s">
        <v>98</v>
      </c>
      <c r="G900" t="s">
        <v>66</v>
      </c>
      <c r="H900" t="s">
        <v>51</v>
      </c>
      <c r="I900">
        <v>1</v>
      </c>
      <c r="J900">
        <v>1215.29</v>
      </c>
      <c r="K900">
        <v>0.15</v>
      </c>
      <c r="L900">
        <v>1033</v>
      </c>
      <c r="M900">
        <v>883.33</v>
      </c>
      <c r="N900">
        <v>149.66999999999999</v>
      </c>
      <c r="O900" t="s">
        <v>27</v>
      </c>
      <c r="P900" t="s">
        <v>39</v>
      </c>
      <c r="Q900" t="s">
        <v>29</v>
      </c>
      <c r="R900" t="s">
        <v>647</v>
      </c>
      <c r="S900">
        <v>11</v>
      </c>
      <c r="T900" t="s">
        <v>634</v>
      </c>
      <c r="U900">
        <v>0.14488867376573086</v>
      </c>
    </row>
    <row r="901" spans="1:21">
      <c r="A901">
        <v>677</v>
      </c>
      <c r="B901" s="1">
        <v>45984</v>
      </c>
      <c r="C901" t="s">
        <v>240</v>
      </c>
      <c r="D901" t="s">
        <v>608</v>
      </c>
      <c r="E901" t="s">
        <v>54</v>
      </c>
      <c r="F901" t="s">
        <v>127</v>
      </c>
      <c r="G901" t="s">
        <v>36</v>
      </c>
      <c r="H901" t="s">
        <v>37</v>
      </c>
      <c r="I901">
        <v>2</v>
      </c>
      <c r="J901">
        <v>9147.0300000000007</v>
      </c>
      <c r="K901">
        <v>0.02</v>
      </c>
      <c r="L901">
        <v>17928.18</v>
      </c>
      <c r="M901">
        <v>13821.26</v>
      </c>
      <c r="N901">
        <v>4106.92</v>
      </c>
      <c r="O901" t="s">
        <v>38</v>
      </c>
      <c r="P901" t="s">
        <v>39</v>
      </c>
      <c r="Q901" t="s">
        <v>29</v>
      </c>
      <c r="R901" t="s">
        <v>647</v>
      </c>
      <c r="S901">
        <v>11</v>
      </c>
      <c r="T901" t="s">
        <v>634</v>
      </c>
      <c r="U901">
        <v>0.22907623640548008</v>
      </c>
    </row>
    <row r="902" spans="1:21">
      <c r="A902">
        <v>661</v>
      </c>
      <c r="B902" s="1">
        <v>45984</v>
      </c>
      <c r="C902" t="s">
        <v>646</v>
      </c>
      <c r="D902" t="s">
        <v>65</v>
      </c>
      <c r="E902" t="s">
        <v>54</v>
      </c>
      <c r="F902" t="s">
        <v>55</v>
      </c>
      <c r="G902" t="s">
        <v>25</v>
      </c>
      <c r="H902" t="s">
        <v>26</v>
      </c>
      <c r="I902">
        <v>1</v>
      </c>
      <c r="J902">
        <v>8323.6</v>
      </c>
      <c r="K902">
        <v>0</v>
      </c>
      <c r="L902">
        <v>8323.6</v>
      </c>
      <c r="M902">
        <v>7244.6</v>
      </c>
      <c r="N902">
        <v>1079</v>
      </c>
      <c r="O902" t="s">
        <v>38</v>
      </c>
      <c r="P902" t="s">
        <v>28</v>
      </c>
      <c r="Q902" t="s">
        <v>46</v>
      </c>
      <c r="R902" t="s">
        <v>647</v>
      </c>
      <c r="S902">
        <v>11</v>
      </c>
      <c r="T902" t="s">
        <v>634</v>
      </c>
      <c r="U902">
        <v>0.12963140948627996</v>
      </c>
    </row>
    <row r="903" spans="1:21">
      <c r="A903">
        <v>650</v>
      </c>
      <c r="B903" s="1">
        <v>45984</v>
      </c>
      <c r="C903" t="s">
        <v>119</v>
      </c>
      <c r="D903" t="s">
        <v>92</v>
      </c>
      <c r="E903" t="s">
        <v>76</v>
      </c>
      <c r="F903" t="s">
        <v>113</v>
      </c>
      <c r="G903" t="s">
        <v>62</v>
      </c>
      <c r="H903" t="s">
        <v>63</v>
      </c>
      <c r="I903">
        <v>1</v>
      </c>
      <c r="J903">
        <v>300.85000000000002</v>
      </c>
      <c r="K903">
        <v>0.05</v>
      </c>
      <c r="L903">
        <v>285.81</v>
      </c>
      <c r="M903">
        <v>256.3</v>
      </c>
      <c r="N903">
        <v>29.51</v>
      </c>
      <c r="O903" t="s">
        <v>38</v>
      </c>
      <c r="P903" t="s">
        <v>71</v>
      </c>
      <c r="Q903" t="s">
        <v>46</v>
      </c>
      <c r="R903" t="s">
        <v>647</v>
      </c>
      <c r="S903">
        <v>11</v>
      </c>
      <c r="T903" t="s">
        <v>634</v>
      </c>
      <c r="U903">
        <v>0.1032504111122774</v>
      </c>
    </row>
    <row r="904" spans="1:21">
      <c r="A904">
        <v>660</v>
      </c>
      <c r="B904" s="1">
        <v>45984</v>
      </c>
      <c r="C904" t="s">
        <v>331</v>
      </c>
      <c r="D904" t="s">
        <v>562</v>
      </c>
      <c r="E904" t="s">
        <v>34</v>
      </c>
      <c r="F904" t="s">
        <v>35</v>
      </c>
      <c r="G904" t="s">
        <v>59</v>
      </c>
      <c r="H904" t="s">
        <v>37</v>
      </c>
      <c r="I904">
        <v>1</v>
      </c>
      <c r="J904">
        <v>7127.78</v>
      </c>
      <c r="K904">
        <v>0.1</v>
      </c>
      <c r="L904">
        <v>6415</v>
      </c>
      <c r="M904">
        <v>4541.16</v>
      </c>
      <c r="N904">
        <v>1873.84</v>
      </c>
      <c r="O904" t="s">
        <v>27</v>
      </c>
      <c r="P904" t="s">
        <v>71</v>
      </c>
      <c r="Q904" t="s">
        <v>29</v>
      </c>
      <c r="R904" t="s">
        <v>647</v>
      </c>
      <c r="S904">
        <v>11</v>
      </c>
      <c r="T904" t="s">
        <v>634</v>
      </c>
      <c r="U904">
        <v>0.29210288386593919</v>
      </c>
    </row>
    <row r="905" spans="1:21">
      <c r="A905">
        <v>1</v>
      </c>
      <c r="B905" s="1">
        <v>45988</v>
      </c>
      <c r="C905" t="s">
        <v>387</v>
      </c>
      <c r="D905" t="s">
        <v>651</v>
      </c>
      <c r="E905" t="s">
        <v>54</v>
      </c>
      <c r="F905" t="s">
        <v>127</v>
      </c>
      <c r="G905" t="s">
        <v>50</v>
      </c>
      <c r="H905" t="s">
        <v>51</v>
      </c>
      <c r="I905">
        <v>2</v>
      </c>
      <c r="J905">
        <v>1235.6300000000001</v>
      </c>
      <c r="K905">
        <v>0.02</v>
      </c>
      <c r="L905">
        <v>2421.83</v>
      </c>
      <c r="M905">
        <v>1632.41</v>
      </c>
      <c r="N905">
        <v>789.42</v>
      </c>
      <c r="O905" t="s">
        <v>27</v>
      </c>
      <c r="P905" t="s">
        <v>39</v>
      </c>
      <c r="Q905" t="s">
        <v>40</v>
      </c>
      <c r="R905" t="s">
        <v>647</v>
      </c>
      <c r="S905">
        <v>11</v>
      </c>
      <c r="T905" t="s">
        <v>634</v>
      </c>
      <c r="U905">
        <v>0.32596012106547528</v>
      </c>
    </row>
    <row r="906" spans="1:21">
      <c r="A906">
        <v>662</v>
      </c>
      <c r="B906" s="1">
        <v>45988</v>
      </c>
      <c r="C906" t="s">
        <v>501</v>
      </c>
      <c r="D906" t="s">
        <v>33</v>
      </c>
      <c r="E906" t="s">
        <v>54</v>
      </c>
      <c r="F906" t="s">
        <v>127</v>
      </c>
      <c r="G906" t="s">
        <v>59</v>
      </c>
      <c r="H906" t="s">
        <v>37</v>
      </c>
      <c r="I906">
        <v>2</v>
      </c>
      <c r="J906">
        <v>9535.32</v>
      </c>
      <c r="K906">
        <v>0</v>
      </c>
      <c r="L906">
        <v>19070.64</v>
      </c>
      <c r="M906">
        <v>16016.15</v>
      </c>
      <c r="N906">
        <v>3054.49</v>
      </c>
      <c r="O906" t="s">
        <v>27</v>
      </c>
      <c r="P906" t="s">
        <v>71</v>
      </c>
      <c r="Q906" t="s">
        <v>46</v>
      </c>
      <c r="R906" t="s">
        <v>647</v>
      </c>
      <c r="S906">
        <v>11</v>
      </c>
      <c r="T906" t="s">
        <v>634</v>
      </c>
      <c r="U906">
        <v>0.16016714698615253</v>
      </c>
    </row>
    <row r="907" spans="1:21">
      <c r="A907">
        <v>709</v>
      </c>
      <c r="B907" s="1">
        <v>45989</v>
      </c>
      <c r="C907" t="s">
        <v>263</v>
      </c>
      <c r="D907" t="s">
        <v>234</v>
      </c>
      <c r="E907" t="s">
        <v>97</v>
      </c>
      <c r="F907" t="s">
        <v>104</v>
      </c>
      <c r="G907" t="s">
        <v>50</v>
      </c>
      <c r="H907" t="s">
        <v>51</v>
      </c>
      <c r="I907">
        <v>3</v>
      </c>
      <c r="J907">
        <v>910.73</v>
      </c>
      <c r="K907">
        <v>0</v>
      </c>
      <c r="L907">
        <v>2732.19</v>
      </c>
      <c r="M907">
        <v>2382.2800000000002</v>
      </c>
      <c r="N907">
        <v>349.91</v>
      </c>
      <c r="O907" t="s">
        <v>27</v>
      </c>
      <c r="P907" t="s">
        <v>28</v>
      </c>
      <c r="Q907" t="s">
        <v>29</v>
      </c>
      <c r="R907" t="s">
        <v>647</v>
      </c>
      <c r="S907">
        <v>11</v>
      </c>
      <c r="T907" t="s">
        <v>634</v>
      </c>
      <c r="U907">
        <v>0.12806942416157002</v>
      </c>
    </row>
    <row r="908" spans="1:21">
      <c r="A908">
        <v>991</v>
      </c>
      <c r="B908" s="1">
        <v>45989</v>
      </c>
      <c r="C908" t="s">
        <v>350</v>
      </c>
      <c r="D908" t="s">
        <v>650</v>
      </c>
      <c r="E908" t="s">
        <v>97</v>
      </c>
      <c r="F908" t="s">
        <v>98</v>
      </c>
      <c r="G908" t="s">
        <v>66</v>
      </c>
      <c r="H908" t="s">
        <v>51</v>
      </c>
      <c r="I908">
        <v>3</v>
      </c>
      <c r="J908">
        <v>1807.82</v>
      </c>
      <c r="K908">
        <v>0.15</v>
      </c>
      <c r="L908">
        <v>4609.9399999999996</v>
      </c>
      <c r="M908">
        <v>4675.38</v>
      </c>
      <c r="N908">
        <v>-65.44</v>
      </c>
      <c r="O908" t="s">
        <v>27</v>
      </c>
      <c r="P908" t="s">
        <v>45</v>
      </c>
      <c r="Q908" t="s">
        <v>46</v>
      </c>
      <c r="R908" t="s">
        <v>647</v>
      </c>
      <c r="S908">
        <v>11</v>
      </c>
      <c r="T908" t="s">
        <v>634</v>
      </c>
      <c r="U908">
        <v>-1.4195412521638027E-2</v>
      </c>
    </row>
    <row r="909" spans="1:21">
      <c r="A909">
        <v>899</v>
      </c>
      <c r="B909" s="1">
        <v>45990</v>
      </c>
      <c r="C909" t="s">
        <v>432</v>
      </c>
      <c r="D909" t="s">
        <v>204</v>
      </c>
      <c r="E909" t="s">
        <v>23</v>
      </c>
      <c r="F909" t="s">
        <v>43</v>
      </c>
      <c r="G909" t="s">
        <v>145</v>
      </c>
      <c r="H909" t="s">
        <v>70</v>
      </c>
      <c r="I909">
        <v>4</v>
      </c>
      <c r="J909">
        <v>1369.61</v>
      </c>
      <c r="K909">
        <v>0.15</v>
      </c>
      <c r="L909">
        <v>4656.67</v>
      </c>
      <c r="M909">
        <v>3456.29</v>
      </c>
      <c r="N909">
        <v>1200.3800000000001</v>
      </c>
      <c r="O909" t="s">
        <v>38</v>
      </c>
      <c r="P909" t="s">
        <v>28</v>
      </c>
      <c r="Q909" t="s">
        <v>29</v>
      </c>
      <c r="R909" t="s">
        <v>647</v>
      </c>
      <c r="S909">
        <v>11</v>
      </c>
      <c r="T909" t="s">
        <v>634</v>
      </c>
      <c r="U909">
        <v>0.2577764797591412</v>
      </c>
    </row>
    <row r="910" spans="1:21">
      <c r="A910">
        <v>167</v>
      </c>
      <c r="B910" s="1">
        <v>45990</v>
      </c>
      <c r="C910" t="s">
        <v>525</v>
      </c>
      <c r="D910" t="s">
        <v>152</v>
      </c>
      <c r="E910" t="s">
        <v>97</v>
      </c>
      <c r="F910" t="s">
        <v>104</v>
      </c>
      <c r="G910" t="s">
        <v>134</v>
      </c>
      <c r="H910" t="s">
        <v>26</v>
      </c>
      <c r="I910">
        <v>2</v>
      </c>
      <c r="J910">
        <v>34515.040000000001</v>
      </c>
      <c r="K910">
        <v>0.1</v>
      </c>
      <c r="L910">
        <v>62127.07</v>
      </c>
      <c r="M910">
        <v>44391.83</v>
      </c>
      <c r="N910">
        <v>17735.240000000002</v>
      </c>
      <c r="O910" t="s">
        <v>27</v>
      </c>
      <c r="P910" t="s">
        <v>28</v>
      </c>
      <c r="Q910" t="s">
        <v>46</v>
      </c>
      <c r="R910" t="s">
        <v>647</v>
      </c>
      <c r="S910">
        <v>11</v>
      </c>
      <c r="T910" t="s">
        <v>634</v>
      </c>
      <c r="U910">
        <v>0.28546718845746311</v>
      </c>
    </row>
    <row r="911" spans="1:21">
      <c r="A911">
        <v>142</v>
      </c>
      <c r="B911" s="1">
        <v>45991</v>
      </c>
      <c r="C911" t="s">
        <v>611</v>
      </c>
      <c r="D911" t="s">
        <v>271</v>
      </c>
      <c r="E911" t="s">
        <v>97</v>
      </c>
      <c r="F911" t="s">
        <v>104</v>
      </c>
      <c r="G911" t="s">
        <v>66</v>
      </c>
      <c r="H911" t="s">
        <v>51</v>
      </c>
      <c r="I911">
        <v>3</v>
      </c>
      <c r="J911">
        <v>2761.14</v>
      </c>
      <c r="K911">
        <v>0.02</v>
      </c>
      <c r="L911">
        <v>8117.75</v>
      </c>
      <c r="M911">
        <v>5647.31</v>
      </c>
      <c r="N911">
        <v>2470.44</v>
      </c>
      <c r="O911" t="s">
        <v>38</v>
      </c>
      <c r="P911" t="s">
        <v>71</v>
      </c>
      <c r="Q911" t="s">
        <v>29</v>
      </c>
      <c r="R911" t="s">
        <v>647</v>
      </c>
      <c r="S911">
        <v>11</v>
      </c>
      <c r="T911" t="s">
        <v>634</v>
      </c>
      <c r="U911">
        <v>0.30432570601459763</v>
      </c>
    </row>
    <row r="912" spans="1:21">
      <c r="A912">
        <v>670</v>
      </c>
      <c r="B912" s="1">
        <v>45991</v>
      </c>
      <c r="C912" t="s">
        <v>72</v>
      </c>
      <c r="D912" t="s">
        <v>176</v>
      </c>
      <c r="E912" t="s">
        <v>97</v>
      </c>
      <c r="F912" t="s">
        <v>104</v>
      </c>
      <c r="G912" t="s">
        <v>44</v>
      </c>
      <c r="H912" t="s">
        <v>26</v>
      </c>
      <c r="I912">
        <v>2</v>
      </c>
      <c r="J912">
        <v>60739.74</v>
      </c>
      <c r="K912">
        <v>0.05</v>
      </c>
      <c r="L912">
        <v>115405.51</v>
      </c>
      <c r="M912">
        <v>86569.31</v>
      </c>
      <c r="N912">
        <v>28836.2</v>
      </c>
      <c r="O912" t="s">
        <v>38</v>
      </c>
      <c r="P912" t="s">
        <v>28</v>
      </c>
      <c r="Q912" t="s">
        <v>40</v>
      </c>
      <c r="R912" t="s">
        <v>647</v>
      </c>
      <c r="S912">
        <v>11</v>
      </c>
      <c r="T912" t="s">
        <v>634</v>
      </c>
      <c r="U912">
        <v>0.24986848548219234</v>
      </c>
    </row>
    <row r="913" spans="1:21">
      <c r="A913">
        <v>484</v>
      </c>
      <c r="B913" s="1">
        <v>45991</v>
      </c>
      <c r="C913" t="s">
        <v>521</v>
      </c>
      <c r="D913" t="s">
        <v>298</v>
      </c>
      <c r="E913" t="s">
        <v>34</v>
      </c>
      <c r="F913" t="s">
        <v>86</v>
      </c>
      <c r="G913" t="s">
        <v>99</v>
      </c>
      <c r="H913" t="s">
        <v>26</v>
      </c>
      <c r="I913">
        <v>2</v>
      </c>
      <c r="J913">
        <v>29834.85</v>
      </c>
      <c r="K913">
        <v>0.02</v>
      </c>
      <c r="L913">
        <v>58476.31</v>
      </c>
      <c r="M913">
        <v>38505.78</v>
      </c>
      <c r="N913">
        <v>19970.53</v>
      </c>
      <c r="O913" t="s">
        <v>38</v>
      </c>
      <c r="P913" t="s">
        <v>78</v>
      </c>
      <c r="Q913" t="s">
        <v>40</v>
      </c>
      <c r="R913" t="s">
        <v>647</v>
      </c>
      <c r="S913">
        <v>11</v>
      </c>
      <c r="T913" t="s">
        <v>634</v>
      </c>
      <c r="U913">
        <v>0.34151488012838016</v>
      </c>
    </row>
    <row r="914" spans="1:21">
      <c r="A914">
        <v>175</v>
      </c>
      <c r="B914" s="1">
        <v>45991</v>
      </c>
      <c r="C914" t="s">
        <v>370</v>
      </c>
      <c r="D914" t="s">
        <v>593</v>
      </c>
      <c r="E914" t="s">
        <v>54</v>
      </c>
      <c r="F914" t="s">
        <v>127</v>
      </c>
      <c r="G914" t="s">
        <v>99</v>
      </c>
      <c r="H914" t="s">
        <v>26</v>
      </c>
      <c r="I914">
        <v>2</v>
      </c>
      <c r="J914">
        <v>10679.27</v>
      </c>
      <c r="K914">
        <v>0.1</v>
      </c>
      <c r="L914">
        <v>19222.689999999999</v>
      </c>
      <c r="M914">
        <v>14973.88</v>
      </c>
      <c r="N914">
        <v>4248.8100000000004</v>
      </c>
      <c r="O914" t="s">
        <v>38</v>
      </c>
      <c r="P914" t="s">
        <v>78</v>
      </c>
      <c r="Q914" t="s">
        <v>46</v>
      </c>
      <c r="R914" t="s">
        <v>647</v>
      </c>
      <c r="S914">
        <v>11</v>
      </c>
      <c r="T914" t="s">
        <v>634</v>
      </c>
      <c r="U914">
        <v>0.22103097953512232</v>
      </c>
    </row>
    <row r="915" spans="1:21">
      <c r="A915">
        <v>418</v>
      </c>
      <c r="B915" s="1">
        <v>45991</v>
      </c>
      <c r="C915" t="s">
        <v>517</v>
      </c>
      <c r="D915" t="s">
        <v>310</v>
      </c>
      <c r="E915" t="s">
        <v>54</v>
      </c>
      <c r="F915" t="s">
        <v>127</v>
      </c>
      <c r="G915" t="s">
        <v>62</v>
      </c>
      <c r="H915" t="s">
        <v>63</v>
      </c>
      <c r="I915">
        <v>4</v>
      </c>
      <c r="J915">
        <v>133.09</v>
      </c>
      <c r="K915">
        <v>0.15</v>
      </c>
      <c r="L915">
        <v>452.51</v>
      </c>
      <c r="M915">
        <v>339.67</v>
      </c>
      <c r="N915">
        <v>112.84</v>
      </c>
      <c r="O915" t="s">
        <v>27</v>
      </c>
      <c r="P915" t="s">
        <v>45</v>
      </c>
      <c r="Q915" t="s">
        <v>40</v>
      </c>
      <c r="R915" t="s">
        <v>647</v>
      </c>
      <c r="S915">
        <v>11</v>
      </c>
      <c r="T915" t="s">
        <v>634</v>
      </c>
      <c r="U915">
        <v>0.24936465492475304</v>
      </c>
    </row>
    <row r="916" spans="1:21">
      <c r="A916">
        <v>774</v>
      </c>
      <c r="B916" s="1">
        <v>45993</v>
      </c>
      <c r="C916" t="s">
        <v>267</v>
      </c>
      <c r="D916" t="s">
        <v>579</v>
      </c>
      <c r="E916" t="s">
        <v>76</v>
      </c>
      <c r="F916" t="s">
        <v>81</v>
      </c>
      <c r="G916" t="s">
        <v>44</v>
      </c>
      <c r="H916" t="s">
        <v>26</v>
      </c>
      <c r="I916">
        <v>2</v>
      </c>
      <c r="J916">
        <v>73288.83</v>
      </c>
      <c r="K916">
        <v>0</v>
      </c>
      <c r="L916">
        <v>146577.66</v>
      </c>
      <c r="M916">
        <v>123181.88</v>
      </c>
      <c r="N916">
        <v>23395.78</v>
      </c>
      <c r="O916" t="s">
        <v>27</v>
      </c>
      <c r="P916" t="s">
        <v>39</v>
      </c>
      <c r="Q916" t="s">
        <v>29</v>
      </c>
      <c r="R916" t="s">
        <v>657</v>
      </c>
      <c r="S916">
        <v>12</v>
      </c>
      <c r="T916" t="s">
        <v>634</v>
      </c>
      <c r="U916">
        <v>0.15961354547480153</v>
      </c>
    </row>
    <row r="917" spans="1:21">
      <c r="A917">
        <v>947</v>
      </c>
      <c r="B917" s="1">
        <v>45994</v>
      </c>
      <c r="C917" t="s">
        <v>319</v>
      </c>
      <c r="D917" t="s">
        <v>115</v>
      </c>
      <c r="E917" t="s">
        <v>23</v>
      </c>
      <c r="F917" t="s">
        <v>58</v>
      </c>
      <c r="G917" t="s">
        <v>25</v>
      </c>
      <c r="H917" t="s">
        <v>26</v>
      </c>
      <c r="I917">
        <v>2</v>
      </c>
      <c r="J917">
        <v>20467.060000000001</v>
      </c>
      <c r="K917">
        <v>0.05</v>
      </c>
      <c r="L917">
        <v>38887.410000000003</v>
      </c>
      <c r="M917">
        <v>33946.85</v>
      </c>
      <c r="N917">
        <v>4940.5600000000004</v>
      </c>
      <c r="O917" t="s">
        <v>27</v>
      </c>
      <c r="P917" t="s">
        <v>45</v>
      </c>
      <c r="Q917" t="s">
        <v>46</v>
      </c>
      <c r="R917" t="s">
        <v>657</v>
      </c>
      <c r="S917">
        <v>12</v>
      </c>
      <c r="T917" t="s">
        <v>634</v>
      </c>
      <c r="U917">
        <v>0.12704780287501791</v>
      </c>
    </row>
    <row r="918" spans="1:21">
      <c r="A918">
        <v>979</v>
      </c>
      <c r="B918" s="1">
        <v>45994</v>
      </c>
      <c r="C918" t="s">
        <v>277</v>
      </c>
      <c r="D918" t="s">
        <v>530</v>
      </c>
      <c r="E918" t="s">
        <v>23</v>
      </c>
      <c r="F918" t="s">
        <v>58</v>
      </c>
      <c r="G918" t="s">
        <v>69</v>
      </c>
      <c r="H918" t="s">
        <v>70</v>
      </c>
      <c r="I918">
        <v>1</v>
      </c>
      <c r="J918">
        <v>1843.4</v>
      </c>
      <c r="K918">
        <v>0.05</v>
      </c>
      <c r="L918">
        <v>1751.23</v>
      </c>
      <c r="M918">
        <v>1428.25</v>
      </c>
      <c r="N918">
        <v>322.98</v>
      </c>
      <c r="O918" t="s">
        <v>27</v>
      </c>
      <c r="P918" t="s">
        <v>71</v>
      </c>
      <c r="Q918" t="s">
        <v>40</v>
      </c>
      <c r="R918" t="s">
        <v>657</v>
      </c>
      <c r="S918">
        <v>12</v>
      </c>
      <c r="T918" t="s">
        <v>634</v>
      </c>
      <c r="U918">
        <v>0.18443037179582353</v>
      </c>
    </row>
    <row r="919" spans="1:21">
      <c r="A919">
        <v>372</v>
      </c>
      <c r="B919" s="1">
        <v>45994</v>
      </c>
      <c r="C919" t="s">
        <v>398</v>
      </c>
      <c r="D919" t="s">
        <v>509</v>
      </c>
      <c r="E919" t="s">
        <v>76</v>
      </c>
      <c r="F919" t="s">
        <v>77</v>
      </c>
      <c r="G919" t="s">
        <v>134</v>
      </c>
      <c r="H919" t="s">
        <v>26</v>
      </c>
      <c r="I919">
        <v>2</v>
      </c>
      <c r="J919">
        <v>24316.21</v>
      </c>
      <c r="K919">
        <v>0.15</v>
      </c>
      <c r="L919">
        <v>41337.56</v>
      </c>
      <c r="M919">
        <v>30726.82</v>
      </c>
      <c r="N919">
        <v>10610.74</v>
      </c>
      <c r="O919" t="s">
        <v>38</v>
      </c>
      <c r="P919" t="s">
        <v>78</v>
      </c>
      <c r="Q919" t="s">
        <v>40</v>
      </c>
      <c r="R919" t="s">
        <v>657</v>
      </c>
      <c r="S919">
        <v>12</v>
      </c>
      <c r="T919" t="s">
        <v>634</v>
      </c>
      <c r="U919">
        <v>0.25668520348080537</v>
      </c>
    </row>
    <row r="920" spans="1:21">
      <c r="A920">
        <v>963</v>
      </c>
      <c r="B920" s="1">
        <v>45995</v>
      </c>
      <c r="C920" t="s">
        <v>452</v>
      </c>
      <c r="D920" t="s">
        <v>448</v>
      </c>
      <c r="E920" t="s">
        <v>54</v>
      </c>
      <c r="F920" t="s">
        <v>108</v>
      </c>
      <c r="G920" t="s">
        <v>50</v>
      </c>
      <c r="H920" t="s">
        <v>51</v>
      </c>
      <c r="I920">
        <v>4</v>
      </c>
      <c r="J920">
        <v>1278.22</v>
      </c>
      <c r="K920">
        <v>0.05</v>
      </c>
      <c r="L920">
        <v>4857.24</v>
      </c>
      <c r="M920">
        <v>3273.46</v>
      </c>
      <c r="N920">
        <v>1583.78</v>
      </c>
      <c r="O920" t="s">
        <v>27</v>
      </c>
      <c r="P920" t="s">
        <v>45</v>
      </c>
      <c r="Q920" t="s">
        <v>29</v>
      </c>
      <c r="R920" t="s">
        <v>657</v>
      </c>
      <c r="S920">
        <v>12</v>
      </c>
      <c r="T920" t="s">
        <v>634</v>
      </c>
      <c r="U920">
        <v>0.326065831624544</v>
      </c>
    </row>
    <row r="921" spans="1:21">
      <c r="A921">
        <v>444</v>
      </c>
      <c r="B921" s="1">
        <v>45996</v>
      </c>
      <c r="C921" t="s">
        <v>594</v>
      </c>
      <c r="D921" t="s">
        <v>314</v>
      </c>
      <c r="E921" t="s">
        <v>23</v>
      </c>
      <c r="F921" t="s">
        <v>43</v>
      </c>
      <c r="G921" t="s">
        <v>66</v>
      </c>
      <c r="H921" t="s">
        <v>51</v>
      </c>
      <c r="I921">
        <v>2</v>
      </c>
      <c r="J921">
        <v>1108.27</v>
      </c>
      <c r="K921">
        <v>0.05</v>
      </c>
      <c r="L921">
        <v>2105.71</v>
      </c>
      <c r="M921">
        <v>1468.4</v>
      </c>
      <c r="N921">
        <v>637.30999999999995</v>
      </c>
      <c r="O921" t="s">
        <v>38</v>
      </c>
      <c r="P921" t="s">
        <v>39</v>
      </c>
      <c r="Q921" t="s">
        <v>40</v>
      </c>
      <c r="R921" t="s">
        <v>657</v>
      </c>
      <c r="S921">
        <v>12</v>
      </c>
      <c r="T921" t="s">
        <v>634</v>
      </c>
      <c r="U921">
        <v>0.30265801083719979</v>
      </c>
    </row>
    <row r="922" spans="1:21">
      <c r="A922">
        <v>682</v>
      </c>
      <c r="B922" s="1">
        <v>45997</v>
      </c>
      <c r="C922" t="s">
        <v>199</v>
      </c>
      <c r="D922" t="s">
        <v>163</v>
      </c>
      <c r="E922" t="s">
        <v>54</v>
      </c>
      <c r="F922" t="s">
        <v>55</v>
      </c>
      <c r="G922" t="s">
        <v>25</v>
      </c>
      <c r="H922" t="s">
        <v>26</v>
      </c>
      <c r="I922">
        <v>3</v>
      </c>
      <c r="J922">
        <v>12502.5</v>
      </c>
      <c r="K922">
        <v>0</v>
      </c>
      <c r="L922">
        <v>37507.5</v>
      </c>
      <c r="M922">
        <v>31041.43</v>
      </c>
      <c r="N922">
        <v>6466.07</v>
      </c>
      <c r="O922" t="s">
        <v>38</v>
      </c>
      <c r="P922" t="s">
        <v>78</v>
      </c>
      <c r="Q922" t="s">
        <v>29</v>
      </c>
      <c r="R922" t="s">
        <v>657</v>
      </c>
      <c r="S922">
        <v>12</v>
      </c>
      <c r="T922" t="s">
        <v>634</v>
      </c>
      <c r="U922">
        <v>0.17239405452242884</v>
      </c>
    </row>
    <row r="923" spans="1:21">
      <c r="A923">
        <v>170</v>
      </c>
      <c r="B923" s="1">
        <v>45998</v>
      </c>
      <c r="C923" t="s">
        <v>637</v>
      </c>
      <c r="D923" t="s">
        <v>396</v>
      </c>
      <c r="E923" t="s">
        <v>76</v>
      </c>
      <c r="F923" t="s">
        <v>77</v>
      </c>
      <c r="G923" t="s">
        <v>99</v>
      </c>
      <c r="H923" t="s">
        <v>26</v>
      </c>
      <c r="I923">
        <v>1</v>
      </c>
      <c r="J923">
        <v>15365.7</v>
      </c>
      <c r="K923">
        <v>0.15</v>
      </c>
      <c r="L923">
        <v>13060.85</v>
      </c>
      <c r="M923">
        <v>10965.51</v>
      </c>
      <c r="N923">
        <v>2095.34</v>
      </c>
      <c r="O923" t="s">
        <v>38</v>
      </c>
      <c r="P923" t="s">
        <v>28</v>
      </c>
      <c r="Q923" t="s">
        <v>46</v>
      </c>
      <c r="R923" t="s">
        <v>657</v>
      </c>
      <c r="S923">
        <v>12</v>
      </c>
      <c r="T923" t="s">
        <v>634</v>
      </c>
      <c r="U923">
        <v>0.1604290685521999</v>
      </c>
    </row>
    <row r="924" spans="1:21">
      <c r="A924">
        <v>29</v>
      </c>
      <c r="B924" s="1">
        <v>45999</v>
      </c>
      <c r="C924" t="s">
        <v>457</v>
      </c>
      <c r="D924" t="s">
        <v>264</v>
      </c>
      <c r="E924" t="s">
        <v>54</v>
      </c>
      <c r="F924" t="s">
        <v>55</v>
      </c>
      <c r="G924" t="s">
        <v>59</v>
      </c>
      <c r="H924" t="s">
        <v>37</v>
      </c>
      <c r="I924">
        <v>1</v>
      </c>
      <c r="J924">
        <v>5359.02</v>
      </c>
      <c r="K924">
        <v>0.02</v>
      </c>
      <c r="L924">
        <v>5251.84</v>
      </c>
      <c r="M924">
        <v>3933.54</v>
      </c>
      <c r="N924">
        <v>1318.3</v>
      </c>
      <c r="O924" t="s">
        <v>27</v>
      </c>
      <c r="P924" t="s">
        <v>71</v>
      </c>
      <c r="Q924" t="s">
        <v>40</v>
      </c>
      <c r="R924" t="s">
        <v>657</v>
      </c>
      <c r="S924">
        <v>12</v>
      </c>
      <c r="T924" t="s">
        <v>634</v>
      </c>
      <c r="U924">
        <v>0.25101678649768461</v>
      </c>
    </row>
    <row r="925" spans="1:21">
      <c r="A925">
        <v>95</v>
      </c>
      <c r="B925" s="1">
        <v>45999</v>
      </c>
      <c r="C925" t="s">
        <v>95</v>
      </c>
      <c r="D925" t="s">
        <v>228</v>
      </c>
      <c r="E925" t="s">
        <v>76</v>
      </c>
      <c r="F925" t="s">
        <v>77</v>
      </c>
      <c r="G925" t="s">
        <v>25</v>
      </c>
      <c r="H925" t="s">
        <v>26</v>
      </c>
      <c r="I925">
        <v>2</v>
      </c>
      <c r="J925">
        <v>12978.02</v>
      </c>
      <c r="K925">
        <v>0.05</v>
      </c>
      <c r="L925">
        <v>24658.240000000002</v>
      </c>
      <c r="M925">
        <v>22493.45</v>
      </c>
      <c r="N925">
        <v>2164.79</v>
      </c>
      <c r="O925" t="s">
        <v>27</v>
      </c>
      <c r="P925" t="s">
        <v>39</v>
      </c>
      <c r="Q925" t="s">
        <v>40</v>
      </c>
      <c r="R925" t="s">
        <v>657</v>
      </c>
      <c r="S925">
        <v>12</v>
      </c>
      <c r="T925" t="s">
        <v>634</v>
      </c>
      <c r="U925">
        <v>8.7791748316181514E-2</v>
      </c>
    </row>
    <row r="926" spans="1:21">
      <c r="A926">
        <v>711</v>
      </c>
      <c r="B926" s="1">
        <v>46000</v>
      </c>
      <c r="C926" t="s">
        <v>341</v>
      </c>
      <c r="D926" t="s">
        <v>324</v>
      </c>
      <c r="E926" t="s">
        <v>34</v>
      </c>
      <c r="F926" t="s">
        <v>49</v>
      </c>
      <c r="G926" t="s">
        <v>99</v>
      </c>
      <c r="H926" t="s">
        <v>26</v>
      </c>
      <c r="I926">
        <v>1</v>
      </c>
      <c r="J926">
        <v>24143.58</v>
      </c>
      <c r="K926">
        <v>0</v>
      </c>
      <c r="L926">
        <v>24143.58</v>
      </c>
      <c r="M926">
        <v>20257.89</v>
      </c>
      <c r="N926">
        <v>3885.69</v>
      </c>
      <c r="O926" t="s">
        <v>38</v>
      </c>
      <c r="P926" t="s">
        <v>28</v>
      </c>
      <c r="Q926" t="s">
        <v>40</v>
      </c>
      <c r="R926" t="s">
        <v>657</v>
      </c>
      <c r="S926">
        <v>12</v>
      </c>
      <c r="T926" t="s">
        <v>634</v>
      </c>
      <c r="U926">
        <v>0.1609409209404736</v>
      </c>
    </row>
    <row r="927" spans="1:21">
      <c r="A927">
        <v>517</v>
      </c>
      <c r="B927" s="1">
        <v>46000</v>
      </c>
      <c r="C927" t="s">
        <v>525</v>
      </c>
      <c r="D927" t="s">
        <v>500</v>
      </c>
      <c r="E927" t="s">
        <v>34</v>
      </c>
      <c r="F927" t="s">
        <v>49</v>
      </c>
      <c r="G927" t="s">
        <v>25</v>
      </c>
      <c r="H927" t="s">
        <v>26</v>
      </c>
      <c r="I927">
        <v>1</v>
      </c>
      <c r="J927">
        <v>7907.37</v>
      </c>
      <c r="K927">
        <v>0</v>
      </c>
      <c r="L927">
        <v>7907.37</v>
      </c>
      <c r="M927">
        <v>5011.01</v>
      </c>
      <c r="N927">
        <v>2896.36</v>
      </c>
      <c r="O927" t="s">
        <v>38</v>
      </c>
      <c r="P927" t="s">
        <v>28</v>
      </c>
      <c r="Q927" t="s">
        <v>29</v>
      </c>
      <c r="R927" t="s">
        <v>657</v>
      </c>
      <c r="S927">
        <v>12</v>
      </c>
      <c r="T927" t="s">
        <v>634</v>
      </c>
      <c r="U927">
        <v>0.36628613559249157</v>
      </c>
    </row>
    <row r="928" spans="1:21">
      <c r="A928">
        <v>821</v>
      </c>
      <c r="B928" s="1">
        <v>46000</v>
      </c>
      <c r="C928" t="s">
        <v>359</v>
      </c>
      <c r="D928" t="s">
        <v>421</v>
      </c>
      <c r="E928" t="s">
        <v>76</v>
      </c>
      <c r="F928" t="s">
        <v>113</v>
      </c>
      <c r="G928" t="s">
        <v>134</v>
      </c>
      <c r="H928" t="s">
        <v>26</v>
      </c>
      <c r="I928">
        <v>1</v>
      </c>
      <c r="J928">
        <v>35801.65</v>
      </c>
      <c r="K928">
        <v>0</v>
      </c>
      <c r="L928">
        <v>35801.65</v>
      </c>
      <c r="M928">
        <v>24145.48</v>
      </c>
      <c r="N928">
        <v>11656.17</v>
      </c>
      <c r="O928" t="s">
        <v>38</v>
      </c>
      <c r="P928" t="s">
        <v>45</v>
      </c>
      <c r="Q928" t="s">
        <v>40</v>
      </c>
      <c r="R928" t="s">
        <v>657</v>
      </c>
      <c r="S928">
        <v>12</v>
      </c>
      <c r="T928" t="s">
        <v>634</v>
      </c>
      <c r="U928">
        <v>0.32557633516890983</v>
      </c>
    </row>
    <row r="929" spans="1:21">
      <c r="A929">
        <v>927</v>
      </c>
      <c r="B929" s="1">
        <v>46001</v>
      </c>
      <c r="C929" t="s">
        <v>262</v>
      </c>
      <c r="D929" t="s">
        <v>649</v>
      </c>
      <c r="E929" t="s">
        <v>34</v>
      </c>
      <c r="F929" t="s">
        <v>86</v>
      </c>
      <c r="G929" t="s">
        <v>62</v>
      </c>
      <c r="H929" t="s">
        <v>63</v>
      </c>
      <c r="I929">
        <v>1</v>
      </c>
      <c r="J929">
        <v>252.81</v>
      </c>
      <c r="K929">
        <v>0</v>
      </c>
      <c r="L929">
        <v>252.81</v>
      </c>
      <c r="M929">
        <v>197.75</v>
      </c>
      <c r="N929">
        <v>55.06</v>
      </c>
      <c r="O929" t="s">
        <v>38</v>
      </c>
      <c r="P929" t="s">
        <v>39</v>
      </c>
      <c r="Q929" t="s">
        <v>46</v>
      </c>
      <c r="R929" t="s">
        <v>657</v>
      </c>
      <c r="S929">
        <v>12</v>
      </c>
      <c r="T929" t="s">
        <v>634</v>
      </c>
      <c r="U929">
        <v>0.21779201772081802</v>
      </c>
    </row>
    <row r="930" spans="1:21">
      <c r="A930">
        <v>246</v>
      </c>
      <c r="B930" s="1">
        <v>46001</v>
      </c>
      <c r="C930" t="s">
        <v>119</v>
      </c>
      <c r="D930" t="s">
        <v>435</v>
      </c>
      <c r="E930" t="s">
        <v>97</v>
      </c>
      <c r="F930" t="s">
        <v>104</v>
      </c>
      <c r="G930" t="s">
        <v>99</v>
      </c>
      <c r="H930" t="s">
        <v>26</v>
      </c>
      <c r="I930">
        <v>1</v>
      </c>
      <c r="J930">
        <v>12514.55</v>
      </c>
      <c r="K930">
        <v>0.15</v>
      </c>
      <c r="L930">
        <v>10637.37</v>
      </c>
      <c r="M930">
        <v>8502.4699999999993</v>
      </c>
      <c r="N930">
        <v>2134.9</v>
      </c>
      <c r="O930" t="s">
        <v>38</v>
      </c>
      <c r="P930" t="s">
        <v>78</v>
      </c>
      <c r="Q930" t="s">
        <v>40</v>
      </c>
      <c r="R930" t="s">
        <v>657</v>
      </c>
      <c r="S930">
        <v>12</v>
      </c>
      <c r="T930" t="s">
        <v>634</v>
      </c>
      <c r="U930">
        <v>0.20069810488870837</v>
      </c>
    </row>
    <row r="931" spans="1:21">
      <c r="A931">
        <v>131</v>
      </c>
      <c r="B931" s="1">
        <v>46001</v>
      </c>
      <c r="C931" t="s">
        <v>624</v>
      </c>
      <c r="D931" t="s">
        <v>500</v>
      </c>
      <c r="E931" t="s">
        <v>54</v>
      </c>
      <c r="F931" t="s">
        <v>127</v>
      </c>
      <c r="G931" t="s">
        <v>145</v>
      </c>
      <c r="H931" t="s">
        <v>70</v>
      </c>
      <c r="I931">
        <v>2</v>
      </c>
      <c r="J931">
        <v>883.42</v>
      </c>
      <c r="K931">
        <v>0.15</v>
      </c>
      <c r="L931">
        <v>1501.81</v>
      </c>
      <c r="M931">
        <v>1219.01</v>
      </c>
      <c r="N931">
        <v>282.8</v>
      </c>
      <c r="O931" t="s">
        <v>38</v>
      </c>
      <c r="P931" t="s">
        <v>28</v>
      </c>
      <c r="Q931" t="s">
        <v>29</v>
      </c>
      <c r="R931" t="s">
        <v>657</v>
      </c>
      <c r="S931">
        <v>12</v>
      </c>
      <c r="T931" t="s">
        <v>634</v>
      </c>
      <c r="U931">
        <v>0.1883061106265107</v>
      </c>
    </row>
    <row r="932" spans="1:21">
      <c r="A932">
        <v>87</v>
      </c>
      <c r="B932" s="1">
        <v>46001</v>
      </c>
      <c r="C932" t="s">
        <v>355</v>
      </c>
      <c r="D932" t="s">
        <v>483</v>
      </c>
      <c r="E932" t="s">
        <v>54</v>
      </c>
      <c r="F932" t="s">
        <v>55</v>
      </c>
      <c r="G932" t="s">
        <v>105</v>
      </c>
      <c r="H932" t="s">
        <v>26</v>
      </c>
      <c r="I932">
        <v>1</v>
      </c>
      <c r="J932">
        <v>2887.94</v>
      </c>
      <c r="K932">
        <v>0.1</v>
      </c>
      <c r="L932">
        <v>2599.15</v>
      </c>
      <c r="M932">
        <v>2105.08</v>
      </c>
      <c r="N932">
        <v>494.07</v>
      </c>
      <c r="O932" t="s">
        <v>38</v>
      </c>
      <c r="P932" t="s">
        <v>39</v>
      </c>
      <c r="Q932" t="s">
        <v>40</v>
      </c>
      <c r="R932" t="s">
        <v>657</v>
      </c>
      <c r="S932">
        <v>12</v>
      </c>
      <c r="T932" t="s">
        <v>634</v>
      </c>
      <c r="U932">
        <v>0.19008906757978569</v>
      </c>
    </row>
    <row r="933" spans="1:21">
      <c r="A933">
        <v>184</v>
      </c>
      <c r="B933" s="1">
        <v>46001</v>
      </c>
      <c r="C933" t="s">
        <v>277</v>
      </c>
      <c r="D933" t="s">
        <v>186</v>
      </c>
      <c r="E933" t="s">
        <v>34</v>
      </c>
      <c r="F933" t="s">
        <v>35</v>
      </c>
      <c r="G933" t="s">
        <v>145</v>
      </c>
      <c r="H933" t="s">
        <v>70</v>
      </c>
      <c r="I933">
        <v>4</v>
      </c>
      <c r="J933">
        <v>1582.34</v>
      </c>
      <c r="K933">
        <v>0</v>
      </c>
      <c r="L933">
        <v>6329.36</v>
      </c>
      <c r="M933">
        <v>4033.89</v>
      </c>
      <c r="N933">
        <v>2295.4699999999998</v>
      </c>
      <c r="O933" t="s">
        <v>27</v>
      </c>
      <c r="P933" t="s">
        <v>78</v>
      </c>
      <c r="Q933" t="s">
        <v>29</v>
      </c>
      <c r="R933" t="s">
        <v>657</v>
      </c>
      <c r="S933">
        <v>12</v>
      </c>
      <c r="T933" t="s">
        <v>634</v>
      </c>
      <c r="U933">
        <v>0.36267015938420311</v>
      </c>
    </row>
    <row r="934" spans="1:21">
      <c r="A934">
        <v>850</v>
      </c>
      <c r="B934" s="1">
        <v>46002</v>
      </c>
      <c r="C934" t="s">
        <v>346</v>
      </c>
      <c r="D934" t="s">
        <v>422</v>
      </c>
      <c r="E934" t="s">
        <v>97</v>
      </c>
      <c r="F934" t="s">
        <v>148</v>
      </c>
      <c r="G934" t="s">
        <v>105</v>
      </c>
      <c r="H934" t="s">
        <v>26</v>
      </c>
      <c r="I934">
        <v>2</v>
      </c>
      <c r="J934">
        <v>3117.12</v>
      </c>
      <c r="K934">
        <v>0.15</v>
      </c>
      <c r="L934">
        <v>5299.1</v>
      </c>
      <c r="M934">
        <v>3949.01</v>
      </c>
      <c r="N934">
        <v>1350.09</v>
      </c>
      <c r="O934" t="s">
        <v>27</v>
      </c>
      <c r="P934" t="s">
        <v>28</v>
      </c>
      <c r="Q934" t="s">
        <v>40</v>
      </c>
      <c r="R934" t="s">
        <v>657</v>
      </c>
      <c r="S934">
        <v>12</v>
      </c>
      <c r="T934" t="s">
        <v>634</v>
      </c>
      <c r="U934">
        <v>0.25477722632145078</v>
      </c>
    </row>
    <row r="935" spans="1:21">
      <c r="A935">
        <v>311</v>
      </c>
      <c r="B935" s="1">
        <v>46002</v>
      </c>
      <c r="C935" t="s">
        <v>296</v>
      </c>
      <c r="D935" t="s">
        <v>152</v>
      </c>
      <c r="E935" t="s">
        <v>97</v>
      </c>
      <c r="F935" t="s">
        <v>104</v>
      </c>
      <c r="G935" t="s">
        <v>44</v>
      </c>
      <c r="H935" t="s">
        <v>26</v>
      </c>
      <c r="I935">
        <v>1</v>
      </c>
      <c r="J935">
        <v>62952.25</v>
      </c>
      <c r="K935">
        <v>0.05</v>
      </c>
      <c r="L935">
        <v>59804.639999999999</v>
      </c>
      <c r="M935">
        <v>42391.199999999997</v>
      </c>
      <c r="N935">
        <v>17413.439999999999</v>
      </c>
      <c r="O935" t="s">
        <v>27</v>
      </c>
      <c r="P935" t="s">
        <v>78</v>
      </c>
      <c r="Q935" t="s">
        <v>40</v>
      </c>
      <c r="R935" t="s">
        <v>657</v>
      </c>
      <c r="S935">
        <v>12</v>
      </c>
      <c r="T935" t="s">
        <v>634</v>
      </c>
      <c r="U935">
        <v>0.29117205621503611</v>
      </c>
    </row>
    <row r="936" spans="1:21">
      <c r="A936">
        <v>699</v>
      </c>
      <c r="B936" s="1">
        <v>46002</v>
      </c>
      <c r="C936" t="s">
        <v>279</v>
      </c>
      <c r="D936" t="s">
        <v>623</v>
      </c>
      <c r="E936" t="s">
        <v>76</v>
      </c>
      <c r="F936" t="s">
        <v>81</v>
      </c>
      <c r="G936" t="s">
        <v>25</v>
      </c>
      <c r="H936" t="s">
        <v>26</v>
      </c>
      <c r="I936">
        <v>4</v>
      </c>
      <c r="J936">
        <v>20553.39</v>
      </c>
      <c r="K936">
        <v>0.02</v>
      </c>
      <c r="L936">
        <v>80569.289999999994</v>
      </c>
      <c r="M936">
        <v>55806.52</v>
      </c>
      <c r="N936">
        <v>24762.77</v>
      </c>
      <c r="O936" t="s">
        <v>27</v>
      </c>
      <c r="P936" t="s">
        <v>45</v>
      </c>
      <c r="Q936" t="s">
        <v>29</v>
      </c>
      <c r="R936" t="s">
        <v>657</v>
      </c>
      <c r="S936">
        <v>12</v>
      </c>
      <c r="T936" t="s">
        <v>634</v>
      </c>
      <c r="U936">
        <v>0.30734750175904496</v>
      </c>
    </row>
    <row r="937" spans="1:21">
      <c r="A937">
        <v>63</v>
      </c>
      <c r="B937" s="1">
        <v>46003</v>
      </c>
      <c r="C937" t="s">
        <v>109</v>
      </c>
      <c r="D937" t="s">
        <v>42</v>
      </c>
      <c r="E937" t="s">
        <v>34</v>
      </c>
      <c r="F937" t="s">
        <v>49</v>
      </c>
      <c r="G937" t="s">
        <v>145</v>
      </c>
      <c r="H937" t="s">
        <v>70</v>
      </c>
      <c r="I937">
        <v>1</v>
      </c>
      <c r="J937">
        <v>650.79</v>
      </c>
      <c r="K937">
        <v>0.15</v>
      </c>
      <c r="L937">
        <v>553.16999999999996</v>
      </c>
      <c r="M937">
        <v>481.46</v>
      </c>
      <c r="N937">
        <v>71.709999999999994</v>
      </c>
      <c r="O937" t="s">
        <v>38</v>
      </c>
      <c r="P937" t="s">
        <v>45</v>
      </c>
      <c r="Q937" t="s">
        <v>29</v>
      </c>
      <c r="R937" t="s">
        <v>657</v>
      </c>
      <c r="S937">
        <v>12</v>
      </c>
      <c r="T937" t="s">
        <v>634</v>
      </c>
      <c r="U937">
        <v>0.1296346511922194</v>
      </c>
    </row>
    <row r="938" spans="1:21">
      <c r="A938">
        <v>438</v>
      </c>
      <c r="B938" s="1">
        <v>46003</v>
      </c>
      <c r="C938" t="s">
        <v>640</v>
      </c>
      <c r="D938" t="s">
        <v>219</v>
      </c>
      <c r="E938" t="s">
        <v>54</v>
      </c>
      <c r="F938" t="s">
        <v>108</v>
      </c>
      <c r="G938" t="s">
        <v>99</v>
      </c>
      <c r="H938" t="s">
        <v>26</v>
      </c>
      <c r="I938">
        <v>2</v>
      </c>
      <c r="J938">
        <v>25452.86</v>
      </c>
      <c r="K938">
        <v>0.15</v>
      </c>
      <c r="L938">
        <v>43269.86</v>
      </c>
      <c r="M938">
        <v>33207.32</v>
      </c>
      <c r="N938">
        <v>10062.540000000001</v>
      </c>
      <c r="O938" t="s">
        <v>38</v>
      </c>
      <c r="P938" t="s">
        <v>78</v>
      </c>
      <c r="Q938" t="s">
        <v>40</v>
      </c>
      <c r="R938" t="s">
        <v>657</v>
      </c>
      <c r="S938">
        <v>12</v>
      </c>
      <c r="T938" t="s">
        <v>634</v>
      </c>
      <c r="U938">
        <v>0.23255309816116809</v>
      </c>
    </row>
    <row r="939" spans="1:21">
      <c r="A939">
        <v>570</v>
      </c>
      <c r="B939" s="1">
        <v>46003</v>
      </c>
      <c r="C939" t="s">
        <v>552</v>
      </c>
      <c r="D939" t="s">
        <v>234</v>
      </c>
      <c r="E939" t="s">
        <v>97</v>
      </c>
      <c r="F939" t="s">
        <v>104</v>
      </c>
      <c r="G939" t="s">
        <v>66</v>
      </c>
      <c r="H939" t="s">
        <v>51</v>
      </c>
      <c r="I939">
        <v>1</v>
      </c>
      <c r="J939">
        <v>2620.71</v>
      </c>
      <c r="K939">
        <v>0.15</v>
      </c>
      <c r="L939">
        <v>2227.6</v>
      </c>
      <c r="M939">
        <v>2135.5700000000002</v>
      </c>
      <c r="N939">
        <v>92.03</v>
      </c>
      <c r="O939" t="s">
        <v>27</v>
      </c>
      <c r="P939" t="s">
        <v>45</v>
      </c>
      <c r="Q939" t="s">
        <v>29</v>
      </c>
      <c r="R939" t="s">
        <v>657</v>
      </c>
      <c r="S939">
        <v>12</v>
      </c>
      <c r="T939" t="s">
        <v>634</v>
      </c>
      <c r="U939">
        <v>4.1313521278506016E-2</v>
      </c>
    </row>
    <row r="940" spans="1:21">
      <c r="A940">
        <v>787</v>
      </c>
      <c r="B940" s="1">
        <v>46003</v>
      </c>
      <c r="C940" t="s">
        <v>619</v>
      </c>
      <c r="D940" t="s">
        <v>204</v>
      </c>
      <c r="E940" t="s">
        <v>23</v>
      </c>
      <c r="F940" t="s">
        <v>43</v>
      </c>
      <c r="G940" t="s">
        <v>62</v>
      </c>
      <c r="H940" t="s">
        <v>63</v>
      </c>
      <c r="I940">
        <v>2</v>
      </c>
      <c r="J940">
        <v>248.79</v>
      </c>
      <c r="K940">
        <v>0.05</v>
      </c>
      <c r="L940">
        <v>472.7</v>
      </c>
      <c r="M940">
        <v>308.60000000000002</v>
      </c>
      <c r="N940">
        <v>164.1</v>
      </c>
      <c r="O940" t="s">
        <v>38</v>
      </c>
      <c r="P940" t="s">
        <v>45</v>
      </c>
      <c r="Q940" t="s">
        <v>46</v>
      </c>
      <c r="R940" t="s">
        <v>657</v>
      </c>
      <c r="S940">
        <v>12</v>
      </c>
      <c r="T940" t="s">
        <v>634</v>
      </c>
      <c r="U940">
        <v>0.34715464353712716</v>
      </c>
    </row>
    <row r="941" spans="1:21">
      <c r="A941">
        <v>705</v>
      </c>
      <c r="B941" s="1">
        <v>46004</v>
      </c>
      <c r="C941" t="s">
        <v>189</v>
      </c>
      <c r="D941" t="s">
        <v>513</v>
      </c>
      <c r="E941" t="s">
        <v>23</v>
      </c>
      <c r="F941" t="s">
        <v>43</v>
      </c>
      <c r="G941" t="s">
        <v>62</v>
      </c>
      <c r="H941" t="s">
        <v>63</v>
      </c>
      <c r="I941">
        <v>4</v>
      </c>
      <c r="J941">
        <v>276.91000000000003</v>
      </c>
      <c r="K941">
        <v>0.1</v>
      </c>
      <c r="L941">
        <v>996.88</v>
      </c>
      <c r="M941">
        <v>936.14</v>
      </c>
      <c r="N941">
        <v>60.74</v>
      </c>
      <c r="O941" t="s">
        <v>38</v>
      </c>
      <c r="P941" t="s">
        <v>71</v>
      </c>
      <c r="Q941" t="s">
        <v>29</v>
      </c>
      <c r="R941" t="s">
        <v>657</v>
      </c>
      <c r="S941">
        <v>12</v>
      </c>
      <c r="T941" t="s">
        <v>634</v>
      </c>
      <c r="U941">
        <v>6.0930101917984113E-2</v>
      </c>
    </row>
    <row r="942" spans="1:21">
      <c r="A942">
        <v>455</v>
      </c>
      <c r="B942" s="1">
        <v>46004</v>
      </c>
      <c r="C942" t="s">
        <v>387</v>
      </c>
      <c r="D942" t="s">
        <v>163</v>
      </c>
      <c r="E942" t="s">
        <v>76</v>
      </c>
      <c r="F942" t="s">
        <v>81</v>
      </c>
      <c r="G942" t="s">
        <v>134</v>
      </c>
      <c r="H942" t="s">
        <v>26</v>
      </c>
      <c r="I942">
        <v>1</v>
      </c>
      <c r="J942">
        <v>39296.959999999999</v>
      </c>
      <c r="K942">
        <v>0.15</v>
      </c>
      <c r="L942">
        <v>33402.42</v>
      </c>
      <c r="M942">
        <v>29183.98</v>
      </c>
      <c r="N942">
        <v>4218.4399999999996</v>
      </c>
      <c r="O942" t="s">
        <v>38</v>
      </c>
      <c r="P942" t="s">
        <v>45</v>
      </c>
      <c r="Q942" t="s">
        <v>46</v>
      </c>
      <c r="R942" t="s">
        <v>657</v>
      </c>
      <c r="S942">
        <v>12</v>
      </c>
      <c r="T942" t="s">
        <v>634</v>
      </c>
      <c r="U942">
        <v>0.12629144834416189</v>
      </c>
    </row>
    <row r="943" spans="1:21">
      <c r="A943">
        <v>557</v>
      </c>
      <c r="B943" s="1">
        <v>46005</v>
      </c>
      <c r="C943" t="s">
        <v>338</v>
      </c>
      <c r="D943" t="s">
        <v>367</v>
      </c>
      <c r="E943" t="s">
        <v>23</v>
      </c>
      <c r="F943" t="s">
        <v>58</v>
      </c>
      <c r="G943" t="s">
        <v>25</v>
      </c>
      <c r="H943" t="s">
        <v>26</v>
      </c>
      <c r="I943">
        <v>2</v>
      </c>
      <c r="J943">
        <v>21887.1</v>
      </c>
      <c r="K943">
        <v>0.1</v>
      </c>
      <c r="L943">
        <v>39396.78</v>
      </c>
      <c r="M943">
        <v>29710.35</v>
      </c>
      <c r="N943">
        <v>9686.43</v>
      </c>
      <c r="O943" t="s">
        <v>38</v>
      </c>
      <c r="P943" t="s">
        <v>39</v>
      </c>
      <c r="Q943" t="s">
        <v>46</v>
      </c>
      <c r="R943" t="s">
        <v>657</v>
      </c>
      <c r="S943">
        <v>12</v>
      </c>
      <c r="T943" t="s">
        <v>634</v>
      </c>
      <c r="U943">
        <v>0.2458685709847353</v>
      </c>
    </row>
    <row r="944" spans="1:21">
      <c r="A944">
        <v>48</v>
      </c>
      <c r="B944" s="1">
        <v>46005</v>
      </c>
      <c r="C944" t="s">
        <v>591</v>
      </c>
      <c r="D944" t="s">
        <v>120</v>
      </c>
      <c r="E944" t="s">
        <v>34</v>
      </c>
      <c r="F944" t="s">
        <v>49</v>
      </c>
      <c r="G944" t="s">
        <v>66</v>
      </c>
      <c r="H944" t="s">
        <v>51</v>
      </c>
      <c r="I944">
        <v>2</v>
      </c>
      <c r="J944">
        <v>2826.53</v>
      </c>
      <c r="K944">
        <v>0</v>
      </c>
      <c r="L944">
        <v>5653.06</v>
      </c>
      <c r="M944">
        <v>4598.74</v>
      </c>
      <c r="N944">
        <v>1054.32</v>
      </c>
      <c r="O944" t="s">
        <v>27</v>
      </c>
      <c r="P944" t="s">
        <v>28</v>
      </c>
      <c r="Q944" t="s">
        <v>29</v>
      </c>
      <c r="R944" t="s">
        <v>657</v>
      </c>
      <c r="S944">
        <v>12</v>
      </c>
      <c r="T944" t="s">
        <v>634</v>
      </c>
      <c r="U944">
        <v>0.1865043003258412</v>
      </c>
    </row>
    <row r="945" spans="1:21">
      <c r="A945">
        <v>25</v>
      </c>
      <c r="B945" s="1">
        <v>46006</v>
      </c>
      <c r="C945" t="s">
        <v>414</v>
      </c>
      <c r="D945" t="s">
        <v>241</v>
      </c>
      <c r="E945" t="s">
        <v>54</v>
      </c>
      <c r="F945" t="s">
        <v>108</v>
      </c>
      <c r="G945" t="s">
        <v>69</v>
      </c>
      <c r="H945" t="s">
        <v>70</v>
      </c>
      <c r="I945">
        <v>2</v>
      </c>
      <c r="J945">
        <v>3185.43</v>
      </c>
      <c r="K945">
        <v>0</v>
      </c>
      <c r="L945">
        <v>6370.86</v>
      </c>
      <c r="M945">
        <v>5528.62</v>
      </c>
      <c r="N945">
        <v>842.24</v>
      </c>
      <c r="O945" t="s">
        <v>38</v>
      </c>
      <c r="P945" t="s">
        <v>78</v>
      </c>
      <c r="Q945" t="s">
        <v>29</v>
      </c>
      <c r="R945" t="s">
        <v>657</v>
      </c>
      <c r="S945">
        <v>12</v>
      </c>
      <c r="T945" t="s">
        <v>634</v>
      </c>
      <c r="U945">
        <v>0.13220193192127908</v>
      </c>
    </row>
    <row r="946" spans="1:21">
      <c r="A946">
        <v>831</v>
      </c>
      <c r="B946" s="1">
        <v>46006</v>
      </c>
      <c r="C946" t="s">
        <v>658</v>
      </c>
      <c r="D946" t="s">
        <v>214</v>
      </c>
      <c r="E946" t="s">
        <v>34</v>
      </c>
      <c r="F946" t="s">
        <v>86</v>
      </c>
      <c r="G946" t="s">
        <v>44</v>
      </c>
      <c r="H946" t="s">
        <v>26</v>
      </c>
      <c r="I946">
        <v>4</v>
      </c>
      <c r="J946">
        <v>64618.83</v>
      </c>
      <c r="K946">
        <v>0.05</v>
      </c>
      <c r="L946">
        <v>245551.55</v>
      </c>
      <c r="M946">
        <v>167524.07</v>
      </c>
      <c r="N946">
        <v>78027.48</v>
      </c>
      <c r="O946" t="s">
        <v>27</v>
      </c>
      <c r="P946" t="s">
        <v>45</v>
      </c>
      <c r="Q946" t="s">
        <v>46</v>
      </c>
      <c r="R946" t="s">
        <v>657</v>
      </c>
      <c r="S946">
        <v>12</v>
      </c>
      <c r="T946" t="s">
        <v>634</v>
      </c>
      <c r="U946">
        <v>0.31776415176365208</v>
      </c>
    </row>
    <row r="947" spans="1:21">
      <c r="A947">
        <v>713</v>
      </c>
      <c r="B947" s="1">
        <v>46006</v>
      </c>
      <c r="C947" t="s">
        <v>138</v>
      </c>
      <c r="D947" t="s">
        <v>484</v>
      </c>
      <c r="E947" t="s">
        <v>97</v>
      </c>
      <c r="F947" t="s">
        <v>104</v>
      </c>
      <c r="G947" t="s">
        <v>50</v>
      </c>
      <c r="H947" t="s">
        <v>51</v>
      </c>
      <c r="I947">
        <v>4</v>
      </c>
      <c r="J947">
        <v>1297.49</v>
      </c>
      <c r="K947">
        <v>0.05</v>
      </c>
      <c r="L947">
        <v>4930.46</v>
      </c>
      <c r="M947">
        <v>3690.93</v>
      </c>
      <c r="N947">
        <v>1239.53</v>
      </c>
      <c r="O947" t="s">
        <v>38</v>
      </c>
      <c r="P947" t="s">
        <v>78</v>
      </c>
      <c r="Q947" t="s">
        <v>40</v>
      </c>
      <c r="R947" t="s">
        <v>657</v>
      </c>
      <c r="S947">
        <v>12</v>
      </c>
      <c r="T947" t="s">
        <v>634</v>
      </c>
      <c r="U947">
        <v>0.25140250605420184</v>
      </c>
    </row>
    <row r="948" spans="1:21">
      <c r="A948">
        <v>113</v>
      </c>
      <c r="B948" s="1">
        <v>46006</v>
      </c>
      <c r="C948" t="s">
        <v>175</v>
      </c>
      <c r="D948" t="s">
        <v>154</v>
      </c>
      <c r="E948" t="s">
        <v>76</v>
      </c>
      <c r="F948" t="s">
        <v>77</v>
      </c>
      <c r="G948" t="s">
        <v>25</v>
      </c>
      <c r="H948" t="s">
        <v>26</v>
      </c>
      <c r="I948">
        <v>2</v>
      </c>
      <c r="J948">
        <v>17893.650000000001</v>
      </c>
      <c r="K948">
        <v>0.05</v>
      </c>
      <c r="L948">
        <v>33997.93</v>
      </c>
      <c r="M948">
        <v>25924.71</v>
      </c>
      <c r="N948">
        <v>8073.22</v>
      </c>
      <c r="O948" t="s">
        <v>38</v>
      </c>
      <c r="P948" t="s">
        <v>45</v>
      </c>
      <c r="Q948" t="s">
        <v>46</v>
      </c>
      <c r="R948" t="s">
        <v>657</v>
      </c>
      <c r="S948">
        <v>12</v>
      </c>
      <c r="T948" t="s">
        <v>634</v>
      </c>
      <c r="U948">
        <v>0.23746210431046832</v>
      </c>
    </row>
    <row r="949" spans="1:21">
      <c r="A949">
        <v>91</v>
      </c>
      <c r="B949" s="1">
        <v>46006</v>
      </c>
      <c r="C949" t="s">
        <v>319</v>
      </c>
      <c r="D949" t="s">
        <v>631</v>
      </c>
      <c r="E949" t="s">
        <v>34</v>
      </c>
      <c r="F949" t="s">
        <v>35</v>
      </c>
      <c r="G949" t="s">
        <v>134</v>
      </c>
      <c r="H949" t="s">
        <v>26</v>
      </c>
      <c r="I949">
        <v>4</v>
      </c>
      <c r="J949">
        <v>33123.160000000003</v>
      </c>
      <c r="K949">
        <v>0.1</v>
      </c>
      <c r="L949">
        <v>119243.38</v>
      </c>
      <c r="M949">
        <v>111074.56</v>
      </c>
      <c r="N949">
        <v>8168.82</v>
      </c>
      <c r="O949" t="s">
        <v>38</v>
      </c>
      <c r="P949" t="s">
        <v>39</v>
      </c>
      <c r="Q949" t="s">
        <v>46</v>
      </c>
      <c r="R949" t="s">
        <v>657</v>
      </c>
      <c r="S949">
        <v>12</v>
      </c>
      <c r="T949" t="s">
        <v>634</v>
      </c>
      <c r="U949">
        <v>6.8505438205458444E-2</v>
      </c>
    </row>
    <row r="950" spans="1:21">
      <c r="A950">
        <v>917</v>
      </c>
      <c r="B950" s="1">
        <v>46007</v>
      </c>
      <c r="C950" t="s">
        <v>225</v>
      </c>
      <c r="D950" t="s">
        <v>131</v>
      </c>
      <c r="E950" t="s">
        <v>23</v>
      </c>
      <c r="F950" t="s">
        <v>58</v>
      </c>
      <c r="G950" t="s">
        <v>44</v>
      </c>
      <c r="H950" t="s">
        <v>26</v>
      </c>
      <c r="I950">
        <v>1</v>
      </c>
      <c r="J950">
        <v>60069.14</v>
      </c>
      <c r="K950">
        <v>0.05</v>
      </c>
      <c r="L950">
        <v>57065.68</v>
      </c>
      <c r="M950">
        <v>46876.3</v>
      </c>
      <c r="N950">
        <v>10189.379999999999</v>
      </c>
      <c r="O950" t="s">
        <v>38</v>
      </c>
      <c r="P950" t="s">
        <v>39</v>
      </c>
      <c r="Q950" t="s">
        <v>46</v>
      </c>
      <c r="R950" t="s">
        <v>657</v>
      </c>
      <c r="S950">
        <v>12</v>
      </c>
      <c r="T950" t="s">
        <v>634</v>
      </c>
      <c r="U950">
        <v>0.17855530679736051</v>
      </c>
    </row>
    <row r="951" spans="1:21">
      <c r="A951">
        <v>158</v>
      </c>
      <c r="B951" s="1">
        <v>46007</v>
      </c>
      <c r="C951" t="s">
        <v>439</v>
      </c>
      <c r="D951" t="s">
        <v>221</v>
      </c>
      <c r="E951" t="s">
        <v>34</v>
      </c>
      <c r="F951" t="s">
        <v>49</v>
      </c>
      <c r="G951" t="s">
        <v>134</v>
      </c>
      <c r="H951" t="s">
        <v>26</v>
      </c>
      <c r="I951">
        <v>2</v>
      </c>
      <c r="J951">
        <v>32796.49</v>
      </c>
      <c r="K951">
        <v>0.1</v>
      </c>
      <c r="L951">
        <v>59033.68</v>
      </c>
      <c r="M951">
        <v>54706.2</v>
      </c>
      <c r="N951">
        <v>4327.4799999999996</v>
      </c>
      <c r="O951" t="s">
        <v>27</v>
      </c>
      <c r="P951" t="s">
        <v>71</v>
      </c>
      <c r="Q951" t="s">
        <v>46</v>
      </c>
      <c r="R951" t="s">
        <v>657</v>
      </c>
      <c r="S951">
        <v>12</v>
      </c>
      <c r="T951" t="s">
        <v>634</v>
      </c>
      <c r="U951">
        <v>7.3305272515621578E-2</v>
      </c>
    </row>
    <row r="952" spans="1:21">
      <c r="A952">
        <v>956</v>
      </c>
      <c r="B952" s="1">
        <v>46007</v>
      </c>
      <c r="C952" t="s">
        <v>272</v>
      </c>
      <c r="D952" t="s">
        <v>659</v>
      </c>
      <c r="E952" t="s">
        <v>23</v>
      </c>
      <c r="F952" t="s">
        <v>24</v>
      </c>
      <c r="G952" t="s">
        <v>105</v>
      </c>
      <c r="H952" t="s">
        <v>26</v>
      </c>
      <c r="I952">
        <v>2</v>
      </c>
      <c r="J952">
        <v>3199.22</v>
      </c>
      <c r="K952">
        <v>0</v>
      </c>
      <c r="L952">
        <v>6398.44</v>
      </c>
      <c r="M952">
        <v>4486.29</v>
      </c>
      <c r="N952">
        <v>1912.15</v>
      </c>
      <c r="O952" t="s">
        <v>27</v>
      </c>
      <c r="P952" t="s">
        <v>28</v>
      </c>
      <c r="Q952" t="s">
        <v>40</v>
      </c>
      <c r="R952" t="s">
        <v>657</v>
      </c>
      <c r="S952">
        <v>12</v>
      </c>
      <c r="T952" t="s">
        <v>634</v>
      </c>
      <c r="U952">
        <v>0.29884628128106228</v>
      </c>
    </row>
    <row r="953" spans="1:21">
      <c r="A953">
        <v>704</v>
      </c>
      <c r="B953" s="1">
        <v>46007</v>
      </c>
      <c r="C953" t="s">
        <v>350</v>
      </c>
      <c r="D953" t="s">
        <v>513</v>
      </c>
      <c r="E953" t="s">
        <v>54</v>
      </c>
      <c r="F953" t="s">
        <v>55</v>
      </c>
      <c r="G953" t="s">
        <v>145</v>
      </c>
      <c r="H953" t="s">
        <v>70</v>
      </c>
      <c r="I953">
        <v>1</v>
      </c>
      <c r="J953">
        <v>892.66</v>
      </c>
      <c r="K953">
        <v>0.05</v>
      </c>
      <c r="L953">
        <v>848.03</v>
      </c>
      <c r="M953">
        <v>640.99</v>
      </c>
      <c r="N953">
        <v>207.04</v>
      </c>
      <c r="O953" t="s">
        <v>27</v>
      </c>
      <c r="P953" t="s">
        <v>39</v>
      </c>
      <c r="Q953" t="s">
        <v>29</v>
      </c>
      <c r="R953" t="s">
        <v>657</v>
      </c>
      <c r="S953">
        <v>12</v>
      </c>
      <c r="T953" t="s">
        <v>634</v>
      </c>
      <c r="U953">
        <v>0.24414230628633421</v>
      </c>
    </row>
    <row r="954" spans="1:21">
      <c r="A954">
        <v>722</v>
      </c>
      <c r="B954" s="1">
        <v>46008</v>
      </c>
      <c r="C954" t="s">
        <v>60</v>
      </c>
      <c r="D954" t="s">
        <v>660</v>
      </c>
      <c r="E954" t="s">
        <v>34</v>
      </c>
      <c r="F954" t="s">
        <v>86</v>
      </c>
      <c r="G954" t="s">
        <v>50</v>
      </c>
      <c r="H954" t="s">
        <v>51</v>
      </c>
      <c r="I954">
        <v>2</v>
      </c>
      <c r="J954">
        <v>409.12</v>
      </c>
      <c r="K954">
        <v>0.1</v>
      </c>
      <c r="L954">
        <v>736.42</v>
      </c>
      <c r="M954">
        <v>603.54</v>
      </c>
      <c r="N954">
        <v>132.88</v>
      </c>
      <c r="O954" t="s">
        <v>27</v>
      </c>
      <c r="P954" t="s">
        <v>71</v>
      </c>
      <c r="Q954" t="s">
        <v>40</v>
      </c>
      <c r="R954" t="s">
        <v>657</v>
      </c>
      <c r="S954">
        <v>12</v>
      </c>
      <c r="T954" t="s">
        <v>634</v>
      </c>
      <c r="U954">
        <v>0.18044050949186605</v>
      </c>
    </row>
    <row r="955" spans="1:21">
      <c r="A955">
        <v>531</v>
      </c>
      <c r="B955" s="1">
        <v>46009</v>
      </c>
      <c r="C955" t="s">
        <v>84</v>
      </c>
      <c r="D955" t="s">
        <v>124</v>
      </c>
      <c r="E955" t="s">
        <v>54</v>
      </c>
      <c r="F955" t="s">
        <v>108</v>
      </c>
      <c r="G955" t="s">
        <v>62</v>
      </c>
      <c r="H955" t="s">
        <v>63</v>
      </c>
      <c r="I955">
        <v>1</v>
      </c>
      <c r="J955">
        <v>153.72</v>
      </c>
      <c r="K955">
        <v>0.02</v>
      </c>
      <c r="L955">
        <v>150.65</v>
      </c>
      <c r="M955">
        <v>110.07</v>
      </c>
      <c r="N955">
        <v>40.58</v>
      </c>
      <c r="O955" t="s">
        <v>27</v>
      </c>
      <c r="P955" t="s">
        <v>39</v>
      </c>
      <c r="Q955" t="s">
        <v>46</v>
      </c>
      <c r="R955" t="s">
        <v>657</v>
      </c>
      <c r="S955">
        <v>12</v>
      </c>
      <c r="T955" t="s">
        <v>634</v>
      </c>
      <c r="U955">
        <v>0.26936608031861931</v>
      </c>
    </row>
    <row r="956" spans="1:21">
      <c r="A956">
        <v>921</v>
      </c>
      <c r="B956" s="1">
        <v>46009</v>
      </c>
      <c r="C956" t="s">
        <v>262</v>
      </c>
      <c r="D956" t="s">
        <v>555</v>
      </c>
      <c r="E956" t="s">
        <v>23</v>
      </c>
      <c r="F956" t="s">
        <v>24</v>
      </c>
      <c r="G956" t="s">
        <v>145</v>
      </c>
      <c r="H956" t="s">
        <v>70</v>
      </c>
      <c r="I956">
        <v>4</v>
      </c>
      <c r="J956">
        <v>1035.51</v>
      </c>
      <c r="K956">
        <v>0</v>
      </c>
      <c r="L956">
        <v>4142.04</v>
      </c>
      <c r="M956">
        <v>2953.37</v>
      </c>
      <c r="N956">
        <v>1188.67</v>
      </c>
      <c r="O956" t="s">
        <v>38</v>
      </c>
      <c r="P956" t="s">
        <v>39</v>
      </c>
      <c r="Q956" t="s">
        <v>46</v>
      </c>
      <c r="R956" t="s">
        <v>657</v>
      </c>
      <c r="S956">
        <v>12</v>
      </c>
      <c r="T956" t="s">
        <v>634</v>
      </c>
      <c r="U956">
        <v>0.28697694855674982</v>
      </c>
    </row>
    <row r="957" spans="1:21">
      <c r="A957">
        <v>313</v>
      </c>
      <c r="B957" s="1">
        <v>46009</v>
      </c>
      <c r="C957" t="s">
        <v>231</v>
      </c>
      <c r="D957" t="s">
        <v>522</v>
      </c>
      <c r="E957" t="s">
        <v>76</v>
      </c>
      <c r="F957" t="s">
        <v>77</v>
      </c>
      <c r="G957" t="s">
        <v>145</v>
      </c>
      <c r="H957" t="s">
        <v>70</v>
      </c>
      <c r="I957">
        <v>4</v>
      </c>
      <c r="J957">
        <v>2140.5300000000002</v>
      </c>
      <c r="K957">
        <v>0.05</v>
      </c>
      <c r="L957">
        <v>8134.01</v>
      </c>
      <c r="M957">
        <v>6813.45</v>
      </c>
      <c r="N957">
        <v>1320.56</v>
      </c>
      <c r="O957" t="s">
        <v>38</v>
      </c>
      <c r="P957" t="s">
        <v>78</v>
      </c>
      <c r="Q957" t="s">
        <v>46</v>
      </c>
      <c r="R957" t="s">
        <v>657</v>
      </c>
      <c r="S957">
        <v>12</v>
      </c>
      <c r="T957" t="s">
        <v>634</v>
      </c>
      <c r="U957">
        <v>0.16235042740296604</v>
      </c>
    </row>
    <row r="958" spans="1:21">
      <c r="A958">
        <v>541</v>
      </c>
      <c r="B958" s="1">
        <v>46010</v>
      </c>
      <c r="C958" t="s">
        <v>602</v>
      </c>
      <c r="D958" t="s">
        <v>425</v>
      </c>
      <c r="E958" t="s">
        <v>97</v>
      </c>
      <c r="F958" t="s">
        <v>98</v>
      </c>
      <c r="G958" t="s">
        <v>36</v>
      </c>
      <c r="H958" t="s">
        <v>37</v>
      </c>
      <c r="I958">
        <v>4</v>
      </c>
      <c r="J958">
        <v>9666.98</v>
      </c>
      <c r="K958">
        <v>0</v>
      </c>
      <c r="L958">
        <v>38667.919999999998</v>
      </c>
      <c r="M958">
        <v>26779.16</v>
      </c>
      <c r="N958">
        <v>11888.76</v>
      </c>
      <c r="O958" t="s">
        <v>38</v>
      </c>
      <c r="P958" t="s">
        <v>45</v>
      </c>
      <c r="Q958" t="s">
        <v>29</v>
      </c>
      <c r="R958" t="s">
        <v>657</v>
      </c>
      <c r="S958">
        <v>12</v>
      </c>
      <c r="T958" t="s">
        <v>634</v>
      </c>
      <c r="U958">
        <v>0.30745796515561219</v>
      </c>
    </row>
    <row r="959" spans="1:21">
      <c r="A959">
        <v>234</v>
      </c>
      <c r="B959" s="1">
        <v>46010</v>
      </c>
      <c r="C959" t="s">
        <v>181</v>
      </c>
      <c r="D959" t="s">
        <v>122</v>
      </c>
      <c r="E959" t="s">
        <v>54</v>
      </c>
      <c r="F959" t="s">
        <v>127</v>
      </c>
      <c r="G959" t="s">
        <v>145</v>
      </c>
      <c r="H959" t="s">
        <v>70</v>
      </c>
      <c r="I959">
        <v>1</v>
      </c>
      <c r="J959">
        <v>1952.03</v>
      </c>
      <c r="K959">
        <v>0.05</v>
      </c>
      <c r="L959">
        <v>1854.43</v>
      </c>
      <c r="M959">
        <v>1638.57</v>
      </c>
      <c r="N959">
        <v>215.86</v>
      </c>
      <c r="O959" t="s">
        <v>38</v>
      </c>
      <c r="P959" t="s">
        <v>71</v>
      </c>
      <c r="Q959" t="s">
        <v>29</v>
      </c>
      <c r="R959" t="s">
        <v>657</v>
      </c>
      <c r="S959">
        <v>12</v>
      </c>
      <c r="T959" t="s">
        <v>634</v>
      </c>
      <c r="U959">
        <v>0.11640234465577023</v>
      </c>
    </row>
    <row r="960" spans="1:21">
      <c r="A960">
        <v>971</v>
      </c>
      <c r="B960" s="1">
        <v>46010</v>
      </c>
      <c r="C960" t="s">
        <v>240</v>
      </c>
      <c r="D960" t="s">
        <v>230</v>
      </c>
      <c r="E960" t="s">
        <v>97</v>
      </c>
      <c r="F960" t="s">
        <v>104</v>
      </c>
      <c r="G960" t="s">
        <v>50</v>
      </c>
      <c r="H960" t="s">
        <v>51</v>
      </c>
      <c r="I960">
        <v>3</v>
      </c>
      <c r="J960">
        <v>1180.03</v>
      </c>
      <c r="K960">
        <v>0.02</v>
      </c>
      <c r="L960">
        <v>3469.29</v>
      </c>
      <c r="M960">
        <v>2423.5500000000002</v>
      </c>
      <c r="N960">
        <v>1045.74</v>
      </c>
      <c r="O960" t="s">
        <v>38</v>
      </c>
      <c r="P960" t="s">
        <v>45</v>
      </c>
      <c r="Q960" t="s">
        <v>29</v>
      </c>
      <c r="R960" t="s">
        <v>657</v>
      </c>
      <c r="S960">
        <v>12</v>
      </c>
      <c r="T960" t="s">
        <v>634</v>
      </c>
      <c r="U960">
        <v>0.3014276696384563</v>
      </c>
    </row>
    <row r="961" spans="1:21">
      <c r="A961">
        <v>77</v>
      </c>
      <c r="B961" s="1">
        <v>46010</v>
      </c>
      <c r="C961" t="s">
        <v>590</v>
      </c>
      <c r="D961" t="s">
        <v>429</v>
      </c>
      <c r="E961" t="s">
        <v>34</v>
      </c>
      <c r="F961" t="s">
        <v>86</v>
      </c>
      <c r="G961" t="s">
        <v>134</v>
      </c>
      <c r="H961" t="s">
        <v>26</v>
      </c>
      <c r="I961">
        <v>4</v>
      </c>
      <c r="J961">
        <v>48214.18</v>
      </c>
      <c r="K961">
        <v>0.05</v>
      </c>
      <c r="L961">
        <v>183213.88</v>
      </c>
      <c r="M961">
        <v>150865.32999999999</v>
      </c>
      <c r="N961">
        <v>32348.55</v>
      </c>
      <c r="O961" t="s">
        <v>38</v>
      </c>
      <c r="P961" t="s">
        <v>28</v>
      </c>
      <c r="Q961" t="s">
        <v>29</v>
      </c>
      <c r="R961" t="s">
        <v>657</v>
      </c>
      <c r="S961">
        <v>12</v>
      </c>
      <c r="T961" t="s">
        <v>634</v>
      </c>
      <c r="U961">
        <v>0.17656167753229177</v>
      </c>
    </row>
    <row r="962" spans="1:21">
      <c r="A962">
        <v>321</v>
      </c>
      <c r="B962" s="1">
        <v>46010</v>
      </c>
      <c r="C962" t="s">
        <v>486</v>
      </c>
      <c r="D962" t="s">
        <v>497</v>
      </c>
      <c r="E962" t="s">
        <v>97</v>
      </c>
      <c r="F962" t="s">
        <v>98</v>
      </c>
      <c r="G962" t="s">
        <v>145</v>
      </c>
      <c r="H962" t="s">
        <v>70</v>
      </c>
      <c r="I962">
        <v>4</v>
      </c>
      <c r="J962">
        <v>1859.52</v>
      </c>
      <c r="K962">
        <v>0</v>
      </c>
      <c r="L962">
        <v>7438.08</v>
      </c>
      <c r="M962">
        <v>6284.81</v>
      </c>
      <c r="N962">
        <v>1153.27</v>
      </c>
      <c r="O962" t="s">
        <v>38</v>
      </c>
      <c r="P962" t="s">
        <v>45</v>
      </c>
      <c r="Q962" t="s">
        <v>46</v>
      </c>
      <c r="R962" t="s">
        <v>657</v>
      </c>
      <c r="S962">
        <v>12</v>
      </c>
      <c r="T962" t="s">
        <v>634</v>
      </c>
      <c r="U962">
        <v>0.15504942135604888</v>
      </c>
    </row>
    <row r="963" spans="1:21">
      <c r="A963">
        <v>265</v>
      </c>
      <c r="B963" s="1">
        <v>46011</v>
      </c>
      <c r="C963" t="s">
        <v>162</v>
      </c>
      <c r="D963" t="s">
        <v>435</v>
      </c>
      <c r="E963" t="s">
        <v>23</v>
      </c>
      <c r="F963" t="s">
        <v>43</v>
      </c>
      <c r="G963" t="s">
        <v>36</v>
      </c>
      <c r="H963" t="s">
        <v>37</v>
      </c>
      <c r="I963">
        <v>4</v>
      </c>
      <c r="J963">
        <v>7256.91</v>
      </c>
      <c r="K963">
        <v>0.02</v>
      </c>
      <c r="L963">
        <v>28447.09</v>
      </c>
      <c r="M963">
        <v>19007.16</v>
      </c>
      <c r="N963">
        <v>9439.93</v>
      </c>
      <c r="O963" t="s">
        <v>38</v>
      </c>
      <c r="P963" t="s">
        <v>78</v>
      </c>
      <c r="Q963" t="s">
        <v>29</v>
      </c>
      <c r="R963" t="s">
        <v>657</v>
      </c>
      <c r="S963">
        <v>12</v>
      </c>
      <c r="T963" t="s">
        <v>634</v>
      </c>
      <c r="U963">
        <v>0.33184167519419389</v>
      </c>
    </row>
    <row r="964" spans="1:21">
      <c r="A964">
        <v>697</v>
      </c>
      <c r="B964" s="1">
        <v>46011</v>
      </c>
      <c r="C964" t="s">
        <v>170</v>
      </c>
      <c r="D964" t="s">
        <v>344</v>
      </c>
      <c r="E964" t="s">
        <v>76</v>
      </c>
      <c r="F964" t="s">
        <v>81</v>
      </c>
      <c r="G964" t="s">
        <v>99</v>
      </c>
      <c r="H964" t="s">
        <v>26</v>
      </c>
      <c r="I964">
        <v>1</v>
      </c>
      <c r="J964">
        <v>21297.69</v>
      </c>
      <c r="K964">
        <v>0</v>
      </c>
      <c r="L964">
        <v>21297.69</v>
      </c>
      <c r="M964">
        <v>17187.060000000001</v>
      </c>
      <c r="N964">
        <v>4110.63</v>
      </c>
      <c r="O964" t="s">
        <v>27</v>
      </c>
      <c r="P964" t="s">
        <v>39</v>
      </c>
      <c r="Q964" t="s">
        <v>46</v>
      </c>
      <c r="R964" t="s">
        <v>657</v>
      </c>
      <c r="S964">
        <v>12</v>
      </c>
      <c r="T964" t="s">
        <v>634</v>
      </c>
      <c r="U964">
        <v>0.1930082558249275</v>
      </c>
    </row>
    <row r="965" spans="1:21">
      <c r="A965">
        <v>458</v>
      </c>
      <c r="B965" s="1">
        <v>46012</v>
      </c>
      <c r="C965" t="s">
        <v>646</v>
      </c>
      <c r="D965" t="s">
        <v>448</v>
      </c>
      <c r="E965" t="s">
        <v>76</v>
      </c>
      <c r="F965" t="s">
        <v>77</v>
      </c>
      <c r="G965" t="s">
        <v>145</v>
      </c>
      <c r="H965" t="s">
        <v>70</v>
      </c>
      <c r="I965">
        <v>3</v>
      </c>
      <c r="J965">
        <v>540.71</v>
      </c>
      <c r="K965">
        <v>0.02</v>
      </c>
      <c r="L965">
        <v>1589.69</v>
      </c>
      <c r="M965">
        <v>1402.79</v>
      </c>
      <c r="N965">
        <v>186.9</v>
      </c>
      <c r="O965" t="s">
        <v>38</v>
      </c>
      <c r="P965" t="s">
        <v>45</v>
      </c>
      <c r="Q965" t="s">
        <v>29</v>
      </c>
      <c r="R965" t="s">
        <v>657</v>
      </c>
      <c r="S965">
        <v>12</v>
      </c>
      <c r="T965" t="s">
        <v>634</v>
      </c>
      <c r="U965">
        <v>0.11757009228214306</v>
      </c>
    </row>
    <row r="966" spans="1:21">
      <c r="A966">
        <v>340</v>
      </c>
      <c r="B966" s="1">
        <v>46012</v>
      </c>
      <c r="C966" t="s">
        <v>374</v>
      </c>
      <c r="D966" t="s">
        <v>422</v>
      </c>
      <c r="E966" t="s">
        <v>97</v>
      </c>
      <c r="F966" t="s">
        <v>98</v>
      </c>
      <c r="G966" t="s">
        <v>66</v>
      </c>
      <c r="H966" t="s">
        <v>51</v>
      </c>
      <c r="I966">
        <v>2</v>
      </c>
      <c r="J966">
        <v>2324.88</v>
      </c>
      <c r="K966">
        <v>0.02</v>
      </c>
      <c r="L966">
        <v>4556.76</v>
      </c>
      <c r="M966">
        <v>3799.83</v>
      </c>
      <c r="N966">
        <v>756.93</v>
      </c>
      <c r="O966" t="s">
        <v>27</v>
      </c>
      <c r="P966" t="s">
        <v>71</v>
      </c>
      <c r="Q966" t="s">
        <v>46</v>
      </c>
      <c r="R966" t="s">
        <v>657</v>
      </c>
      <c r="S966">
        <v>12</v>
      </c>
      <c r="T966" t="s">
        <v>634</v>
      </c>
      <c r="U966">
        <v>0.16611144760751059</v>
      </c>
    </row>
    <row r="967" spans="1:21">
      <c r="A967">
        <v>270</v>
      </c>
      <c r="B967" s="1">
        <v>46012</v>
      </c>
      <c r="C967" t="s">
        <v>517</v>
      </c>
      <c r="D967" t="s">
        <v>661</v>
      </c>
      <c r="E967" t="s">
        <v>23</v>
      </c>
      <c r="F967" t="s">
        <v>58</v>
      </c>
      <c r="G967" t="s">
        <v>66</v>
      </c>
      <c r="H967" t="s">
        <v>51</v>
      </c>
      <c r="I967">
        <v>3</v>
      </c>
      <c r="J967">
        <v>1172.5</v>
      </c>
      <c r="K967">
        <v>0.1</v>
      </c>
      <c r="L967">
        <v>3165.75</v>
      </c>
      <c r="M967">
        <v>2972.69</v>
      </c>
      <c r="N967">
        <v>193.06</v>
      </c>
      <c r="O967" t="s">
        <v>27</v>
      </c>
      <c r="P967" t="s">
        <v>39</v>
      </c>
      <c r="Q967" t="s">
        <v>29</v>
      </c>
      <c r="R967" t="s">
        <v>657</v>
      </c>
      <c r="S967">
        <v>12</v>
      </c>
      <c r="T967" t="s">
        <v>634</v>
      </c>
      <c r="U967">
        <v>6.0983969043670538E-2</v>
      </c>
    </row>
    <row r="968" spans="1:21">
      <c r="A968">
        <v>988</v>
      </c>
      <c r="B968" s="1">
        <v>46013</v>
      </c>
      <c r="C968" t="s">
        <v>599</v>
      </c>
      <c r="D968" t="s">
        <v>649</v>
      </c>
      <c r="E968" t="s">
        <v>34</v>
      </c>
      <c r="F968" t="s">
        <v>86</v>
      </c>
      <c r="G968" t="s">
        <v>134</v>
      </c>
      <c r="H968" t="s">
        <v>26</v>
      </c>
      <c r="I968">
        <v>2</v>
      </c>
      <c r="J968">
        <v>36457.49</v>
      </c>
      <c r="K968">
        <v>0.05</v>
      </c>
      <c r="L968">
        <v>69269.23</v>
      </c>
      <c r="M968">
        <v>50361.19</v>
      </c>
      <c r="N968">
        <v>18908.04</v>
      </c>
      <c r="O968" t="s">
        <v>27</v>
      </c>
      <c r="P968" t="s">
        <v>71</v>
      </c>
      <c r="Q968" t="s">
        <v>29</v>
      </c>
      <c r="R968" t="s">
        <v>657</v>
      </c>
      <c r="S968">
        <v>12</v>
      </c>
      <c r="T968" t="s">
        <v>634</v>
      </c>
      <c r="U968">
        <v>0.27296448942770118</v>
      </c>
    </row>
    <row r="969" spans="1:21">
      <c r="A969">
        <v>120</v>
      </c>
      <c r="B969" s="1">
        <v>46013</v>
      </c>
      <c r="C969" t="s">
        <v>436</v>
      </c>
      <c r="D969" t="s">
        <v>616</v>
      </c>
      <c r="E969" t="s">
        <v>23</v>
      </c>
      <c r="F969" t="s">
        <v>43</v>
      </c>
      <c r="G969" t="s">
        <v>25</v>
      </c>
      <c r="H969" t="s">
        <v>26</v>
      </c>
      <c r="I969">
        <v>2</v>
      </c>
      <c r="J969">
        <v>11344.14</v>
      </c>
      <c r="K969">
        <v>0</v>
      </c>
      <c r="L969">
        <v>22688.28</v>
      </c>
      <c r="M969">
        <v>19553.29</v>
      </c>
      <c r="N969">
        <v>3134.99</v>
      </c>
      <c r="O969" t="s">
        <v>27</v>
      </c>
      <c r="P969" t="s">
        <v>78</v>
      </c>
      <c r="Q969" t="s">
        <v>46</v>
      </c>
      <c r="R969" t="s">
        <v>657</v>
      </c>
      <c r="S969">
        <v>12</v>
      </c>
      <c r="T969" t="s">
        <v>634</v>
      </c>
      <c r="U969">
        <v>0.13817662687519724</v>
      </c>
    </row>
    <row r="970" spans="1:21">
      <c r="A970">
        <v>966</v>
      </c>
      <c r="B970" s="1">
        <v>46014</v>
      </c>
      <c r="C970" t="s">
        <v>662</v>
      </c>
      <c r="D970" t="s">
        <v>604</v>
      </c>
      <c r="E970" t="s">
        <v>76</v>
      </c>
      <c r="F970" t="s">
        <v>77</v>
      </c>
      <c r="G970" t="s">
        <v>145</v>
      </c>
      <c r="H970" t="s">
        <v>70</v>
      </c>
      <c r="I970">
        <v>3</v>
      </c>
      <c r="J970">
        <v>805.06</v>
      </c>
      <c r="K970">
        <v>0.02</v>
      </c>
      <c r="L970">
        <v>2366.88</v>
      </c>
      <c r="M970">
        <v>1522.16</v>
      </c>
      <c r="N970">
        <v>844.72</v>
      </c>
      <c r="O970" t="s">
        <v>38</v>
      </c>
      <c r="P970" t="s">
        <v>71</v>
      </c>
      <c r="Q970" t="s">
        <v>46</v>
      </c>
      <c r="R970" t="s">
        <v>657</v>
      </c>
      <c r="S970">
        <v>12</v>
      </c>
      <c r="T970" t="s">
        <v>634</v>
      </c>
      <c r="U970">
        <v>0.35689177313594267</v>
      </c>
    </row>
    <row r="971" spans="1:21">
      <c r="A971">
        <v>297</v>
      </c>
      <c r="B971" s="1">
        <v>46014</v>
      </c>
      <c r="C971" t="s">
        <v>60</v>
      </c>
      <c r="D971" t="s">
        <v>163</v>
      </c>
      <c r="E971" t="s">
        <v>76</v>
      </c>
      <c r="F971" t="s">
        <v>77</v>
      </c>
      <c r="G971" t="s">
        <v>25</v>
      </c>
      <c r="H971" t="s">
        <v>26</v>
      </c>
      <c r="I971">
        <v>1</v>
      </c>
      <c r="J971">
        <v>6000.19</v>
      </c>
      <c r="K971">
        <v>0.1</v>
      </c>
      <c r="L971">
        <v>5400.17</v>
      </c>
      <c r="M971">
        <v>4535.26</v>
      </c>
      <c r="N971">
        <v>864.91</v>
      </c>
      <c r="O971" t="s">
        <v>38</v>
      </c>
      <c r="P971" t="s">
        <v>71</v>
      </c>
      <c r="Q971" t="s">
        <v>29</v>
      </c>
      <c r="R971" t="s">
        <v>657</v>
      </c>
      <c r="S971">
        <v>12</v>
      </c>
      <c r="T971" t="s">
        <v>634</v>
      </c>
      <c r="U971">
        <v>0.16016347633500427</v>
      </c>
    </row>
    <row r="972" spans="1:21">
      <c r="A972">
        <v>260</v>
      </c>
      <c r="B972" s="1">
        <v>46015</v>
      </c>
      <c r="C972" t="s">
        <v>359</v>
      </c>
      <c r="D972" t="s">
        <v>157</v>
      </c>
      <c r="E972" t="s">
        <v>34</v>
      </c>
      <c r="F972" t="s">
        <v>35</v>
      </c>
      <c r="G972" t="s">
        <v>36</v>
      </c>
      <c r="H972" t="s">
        <v>37</v>
      </c>
      <c r="I972">
        <v>1</v>
      </c>
      <c r="J972">
        <v>8789.2000000000007</v>
      </c>
      <c r="K972">
        <v>0.1</v>
      </c>
      <c r="L972">
        <v>7910.28</v>
      </c>
      <c r="M972">
        <v>6379.62</v>
      </c>
      <c r="N972">
        <v>1530.66</v>
      </c>
      <c r="O972" t="s">
        <v>38</v>
      </c>
      <c r="P972" t="s">
        <v>78</v>
      </c>
      <c r="Q972" t="s">
        <v>29</v>
      </c>
      <c r="R972" t="s">
        <v>657</v>
      </c>
      <c r="S972">
        <v>12</v>
      </c>
      <c r="T972" t="s">
        <v>634</v>
      </c>
      <c r="U972">
        <v>0.19350263201808282</v>
      </c>
    </row>
    <row r="973" spans="1:21">
      <c r="A973">
        <v>646</v>
      </c>
      <c r="B973" s="1">
        <v>46015</v>
      </c>
      <c r="C973" t="s">
        <v>625</v>
      </c>
      <c r="D973" t="s">
        <v>332</v>
      </c>
      <c r="E973" t="s">
        <v>97</v>
      </c>
      <c r="F973" t="s">
        <v>148</v>
      </c>
      <c r="G973" t="s">
        <v>99</v>
      </c>
      <c r="H973" t="s">
        <v>26</v>
      </c>
      <c r="I973">
        <v>2</v>
      </c>
      <c r="J973">
        <v>27906.560000000001</v>
      </c>
      <c r="K973">
        <v>0.05</v>
      </c>
      <c r="L973">
        <v>53022.46</v>
      </c>
      <c r="M973">
        <v>43967.44</v>
      </c>
      <c r="N973">
        <v>9055.02</v>
      </c>
      <c r="O973" t="s">
        <v>27</v>
      </c>
      <c r="P973" t="s">
        <v>71</v>
      </c>
      <c r="Q973" t="s">
        <v>46</v>
      </c>
      <c r="R973" t="s">
        <v>657</v>
      </c>
      <c r="S973">
        <v>12</v>
      </c>
      <c r="T973" t="s">
        <v>634</v>
      </c>
      <c r="U973">
        <v>0.17077706315399174</v>
      </c>
    </row>
    <row r="974" spans="1:21">
      <c r="A974">
        <v>250</v>
      </c>
      <c r="B974" s="1">
        <v>46016</v>
      </c>
      <c r="C974" t="s">
        <v>663</v>
      </c>
      <c r="D974" t="s">
        <v>65</v>
      </c>
      <c r="E974" t="s">
        <v>34</v>
      </c>
      <c r="F974" t="s">
        <v>86</v>
      </c>
      <c r="G974" t="s">
        <v>69</v>
      </c>
      <c r="H974" t="s">
        <v>70</v>
      </c>
      <c r="I974">
        <v>2</v>
      </c>
      <c r="J974">
        <v>1724.61</v>
      </c>
      <c r="K974">
        <v>0.15</v>
      </c>
      <c r="L974">
        <v>2931.84</v>
      </c>
      <c r="M974">
        <v>3005.2</v>
      </c>
      <c r="N974">
        <v>-73.36</v>
      </c>
      <c r="O974" t="s">
        <v>38</v>
      </c>
      <c r="P974" t="s">
        <v>39</v>
      </c>
      <c r="Q974" t="s">
        <v>29</v>
      </c>
      <c r="R974" t="s">
        <v>657</v>
      </c>
      <c r="S974">
        <v>12</v>
      </c>
      <c r="T974" t="s">
        <v>634</v>
      </c>
      <c r="U974">
        <v>-2.5021829294913773E-2</v>
      </c>
    </row>
    <row r="975" spans="1:21">
      <c r="A975">
        <v>847</v>
      </c>
      <c r="B975" s="1">
        <v>46016</v>
      </c>
      <c r="C975" t="s">
        <v>262</v>
      </c>
      <c r="D975" t="s">
        <v>461</v>
      </c>
      <c r="E975" t="s">
        <v>76</v>
      </c>
      <c r="F975" t="s">
        <v>81</v>
      </c>
      <c r="G975" t="s">
        <v>69</v>
      </c>
      <c r="H975" t="s">
        <v>70</v>
      </c>
      <c r="I975">
        <v>2</v>
      </c>
      <c r="J975">
        <v>1140.04</v>
      </c>
      <c r="K975">
        <v>0.15</v>
      </c>
      <c r="L975">
        <v>1938.07</v>
      </c>
      <c r="M975">
        <v>1925.98</v>
      </c>
      <c r="N975">
        <v>12.09</v>
      </c>
      <c r="O975" t="s">
        <v>27</v>
      </c>
      <c r="P975" t="s">
        <v>71</v>
      </c>
      <c r="Q975" t="s">
        <v>40</v>
      </c>
      <c r="R975" t="s">
        <v>657</v>
      </c>
      <c r="S975">
        <v>12</v>
      </c>
      <c r="T975" t="s">
        <v>634</v>
      </c>
      <c r="U975">
        <v>6.2381647721702523E-3</v>
      </c>
    </row>
    <row r="976" spans="1:21">
      <c r="A976">
        <v>96</v>
      </c>
      <c r="B976" s="1">
        <v>46016</v>
      </c>
      <c r="C976" t="s">
        <v>529</v>
      </c>
      <c r="D976" t="s">
        <v>402</v>
      </c>
      <c r="E976" t="s">
        <v>97</v>
      </c>
      <c r="F976" t="s">
        <v>148</v>
      </c>
      <c r="G976" t="s">
        <v>105</v>
      </c>
      <c r="H976" t="s">
        <v>26</v>
      </c>
      <c r="I976">
        <v>1</v>
      </c>
      <c r="J976">
        <v>4684.71</v>
      </c>
      <c r="K976">
        <v>0.02</v>
      </c>
      <c r="L976">
        <v>4591.0200000000004</v>
      </c>
      <c r="M976">
        <v>3676.11</v>
      </c>
      <c r="N976">
        <v>914.91</v>
      </c>
      <c r="O976" t="s">
        <v>27</v>
      </c>
      <c r="P976" t="s">
        <v>39</v>
      </c>
      <c r="Q976" t="s">
        <v>40</v>
      </c>
      <c r="R976" t="s">
        <v>657</v>
      </c>
      <c r="S976">
        <v>12</v>
      </c>
      <c r="T976" t="s">
        <v>634</v>
      </c>
      <c r="U976">
        <v>0.19928251238286915</v>
      </c>
    </row>
    <row r="977" spans="1:21">
      <c r="A977">
        <v>634</v>
      </c>
      <c r="B977" s="1">
        <v>46016</v>
      </c>
      <c r="C977" t="s">
        <v>199</v>
      </c>
      <c r="D977" t="s">
        <v>650</v>
      </c>
      <c r="E977" t="s">
        <v>34</v>
      </c>
      <c r="F977" t="s">
        <v>86</v>
      </c>
      <c r="G977" t="s">
        <v>69</v>
      </c>
      <c r="H977" t="s">
        <v>70</v>
      </c>
      <c r="I977">
        <v>4</v>
      </c>
      <c r="J977">
        <v>2955.82</v>
      </c>
      <c r="K977">
        <v>0.1</v>
      </c>
      <c r="L977">
        <v>10640.95</v>
      </c>
      <c r="M977">
        <v>9818.48</v>
      </c>
      <c r="N977">
        <v>822.47</v>
      </c>
      <c r="O977" t="s">
        <v>27</v>
      </c>
      <c r="P977" t="s">
        <v>78</v>
      </c>
      <c r="Q977" t="s">
        <v>40</v>
      </c>
      <c r="R977" t="s">
        <v>657</v>
      </c>
      <c r="S977">
        <v>12</v>
      </c>
      <c r="T977" t="s">
        <v>634</v>
      </c>
      <c r="U977">
        <v>7.729291087731828E-2</v>
      </c>
    </row>
    <row r="978" spans="1:21">
      <c r="A978">
        <v>511</v>
      </c>
      <c r="B978" s="1">
        <v>46016</v>
      </c>
      <c r="C978" t="s">
        <v>553</v>
      </c>
      <c r="D978" t="s">
        <v>230</v>
      </c>
      <c r="E978" t="s">
        <v>34</v>
      </c>
      <c r="F978" t="s">
        <v>86</v>
      </c>
      <c r="G978" t="s">
        <v>44</v>
      </c>
      <c r="H978" t="s">
        <v>26</v>
      </c>
      <c r="I978">
        <v>4</v>
      </c>
      <c r="J978">
        <v>70837.83</v>
      </c>
      <c r="K978">
        <v>0.05</v>
      </c>
      <c r="L978">
        <v>269183.75</v>
      </c>
      <c r="M978">
        <v>211207.59</v>
      </c>
      <c r="N978">
        <v>57976.160000000003</v>
      </c>
      <c r="O978" t="s">
        <v>38</v>
      </c>
      <c r="P978" t="s">
        <v>28</v>
      </c>
      <c r="Q978" t="s">
        <v>40</v>
      </c>
      <c r="R978" t="s">
        <v>657</v>
      </c>
      <c r="S978">
        <v>12</v>
      </c>
      <c r="T978" t="s">
        <v>634</v>
      </c>
      <c r="U978">
        <v>0.21537763702303725</v>
      </c>
    </row>
    <row r="979" spans="1:21">
      <c r="A979">
        <v>955</v>
      </c>
      <c r="B979" s="1">
        <v>46016</v>
      </c>
      <c r="C979" t="s">
        <v>346</v>
      </c>
      <c r="D979" t="s">
        <v>174</v>
      </c>
      <c r="E979" t="s">
        <v>76</v>
      </c>
      <c r="F979" t="s">
        <v>113</v>
      </c>
      <c r="G979" t="s">
        <v>69</v>
      </c>
      <c r="H979" t="s">
        <v>70</v>
      </c>
      <c r="I979">
        <v>1</v>
      </c>
      <c r="J979">
        <v>2743.18</v>
      </c>
      <c r="K979">
        <v>0.05</v>
      </c>
      <c r="L979">
        <v>2606.02</v>
      </c>
      <c r="M979">
        <v>2152.79</v>
      </c>
      <c r="N979">
        <v>453.23</v>
      </c>
      <c r="O979" t="s">
        <v>38</v>
      </c>
      <c r="P979" t="s">
        <v>28</v>
      </c>
      <c r="Q979" t="s">
        <v>46</v>
      </c>
      <c r="R979" t="s">
        <v>657</v>
      </c>
      <c r="S979">
        <v>12</v>
      </c>
      <c r="T979" t="s">
        <v>634</v>
      </c>
      <c r="U979">
        <v>0.17391654707177998</v>
      </c>
    </row>
    <row r="980" spans="1:21">
      <c r="A980">
        <v>698</v>
      </c>
      <c r="B980" s="1">
        <v>46016</v>
      </c>
      <c r="C980" t="s">
        <v>151</v>
      </c>
      <c r="D980" t="s">
        <v>530</v>
      </c>
      <c r="E980" t="s">
        <v>34</v>
      </c>
      <c r="F980" t="s">
        <v>35</v>
      </c>
      <c r="G980" t="s">
        <v>99</v>
      </c>
      <c r="H980" t="s">
        <v>26</v>
      </c>
      <c r="I980">
        <v>3</v>
      </c>
      <c r="J980">
        <v>19657.689999999999</v>
      </c>
      <c r="K980">
        <v>0.1</v>
      </c>
      <c r="L980">
        <v>53075.76</v>
      </c>
      <c r="M980">
        <v>40040.19</v>
      </c>
      <c r="N980">
        <v>13035.57</v>
      </c>
      <c r="O980" t="s">
        <v>38</v>
      </c>
      <c r="P980" t="s">
        <v>39</v>
      </c>
      <c r="Q980" t="s">
        <v>29</v>
      </c>
      <c r="R980" t="s">
        <v>657</v>
      </c>
      <c r="S980">
        <v>12</v>
      </c>
      <c r="T980" t="s">
        <v>634</v>
      </c>
      <c r="U980">
        <v>0.24560307756309094</v>
      </c>
    </row>
    <row r="981" spans="1:21">
      <c r="A981">
        <v>732</v>
      </c>
      <c r="B981" s="1">
        <v>46016</v>
      </c>
      <c r="C981" t="s">
        <v>121</v>
      </c>
      <c r="D981" t="s">
        <v>48</v>
      </c>
      <c r="E981" t="s">
        <v>34</v>
      </c>
      <c r="F981" t="s">
        <v>35</v>
      </c>
      <c r="G981" t="s">
        <v>50</v>
      </c>
      <c r="H981" t="s">
        <v>51</v>
      </c>
      <c r="I981">
        <v>3</v>
      </c>
      <c r="J981">
        <v>883.69</v>
      </c>
      <c r="K981">
        <v>0</v>
      </c>
      <c r="L981">
        <v>2651.07</v>
      </c>
      <c r="M981">
        <v>1765.26</v>
      </c>
      <c r="N981">
        <v>885.81</v>
      </c>
      <c r="O981" t="s">
        <v>38</v>
      </c>
      <c r="P981" t="s">
        <v>39</v>
      </c>
      <c r="Q981" t="s">
        <v>46</v>
      </c>
      <c r="R981" t="s">
        <v>657</v>
      </c>
      <c r="S981">
        <v>12</v>
      </c>
      <c r="T981" t="s">
        <v>634</v>
      </c>
      <c r="U981">
        <v>0.33413301044483923</v>
      </c>
    </row>
    <row r="982" spans="1:21">
      <c r="A982">
        <v>460</v>
      </c>
      <c r="B982" s="1">
        <v>46017</v>
      </c>
      <c r="C982" t="s">
        <v>21</v>
      </c>
      <c r="D982" t="s">
        <v>664</v>
      </c>
      <c r="E982" t="s">
        <v>23</v>
      </c>
      <c r="F982" t="s">
        <v>58</v>
      </c>
      <c r="G982" t="s">
        <v>44</v>
      </c>
      <c r="H982" t="s">
        <v>26</v>
      </c>
      <c r="I982">
        <v>1</v>
      </c>
      <c r="J982">
        <v>61548.42</v>
      </c>
      <c r="K982">
        <v>0.02</v>
      </c>
      <c r="L982">
        <v>60317.45</v>
      </c>
      <c r="M982">
        <v>41059.24</v>
      </c>
      <c r="N982">
        <v>19258.21</v>
      </c>
      <c r="O982" t="s">
        <v>27</v>
      </c>
      <c r="P982" t="s">
        <v>71</v>
      </c>
      <c r="Q982" t="s">
        <v>40</v>
      </c>
      <c r="R982" t="s">
        <v>657</v>
      </c>
      <c r="S982">
        <v>12</v>
      </c>
      <c r="T982" t="s">
        <v>634</v>
      </c>
      <c r="U982">
        <v>0.31928090461383896</v>
      </c>
    </row>
    <row r="983" spans="1:21">
      <c r="A983">
        <v>380</v>
      </c>
      <c r="B983" s="1">
        <v>46017</v>
      </c>
      <c r="C983" t="s">
        <v>656</v>
      </c>
      <c r="D983" t="s">
        <v>447</v>
      </c>
      <c r="E983" t="s">
        <v>34</v>
      </c>
      <c r="F983" t="s">
        <v>35</v>
      </c>
      <c r="G983" t="s">
        <v>66</v>
      </c>
      <c r="H983" t="s">
        <v>51</v>
      </c>
      <c r="I983">
        <v>3</v>
      </c>
      <c r="J983">
        <v>913.07</v>
      </c>
      <c r="K983">
        <v>0.02</v>
      </c>
      <c r="L983">
        <v>2684.43</v>
      </c>
      <c r="M983">
        <v>2342.6799999999998</v>
      </c>
      <c r="N983">
        <v>341.75</v>
      </c>
      <c r="O983" t="s">
        <v>38</v>
      </c>
      <c r="P983" t="s">
        <v>71</v>
      </c>
      <c r="Q983" t="s">
        <v>46</v>
      </c>
      <c r="R983" t="s">
        <v>657</v>
      </c>
      <c r="S983">
        <v>12</v>
      </c>
      <c r="T983" t="s">
        <v>634</v>
      </c>
      <c r="U983">
        <v>0.12730821813196844</v>
      </c>
    </row>
    <row r="984" spans="1:21">
      <c r="A984">
        <v>905</v>
      </c>
      <c r="B984" s="1">
        <v>46018</v>
      </c>
      <c r="C984" t="s">
        <v>100</v>
      </c>
      <c r="D984" t="s">
        <v>68</v>
      </c>
      <c r="E984" t="s">
        <v>34</v>
      </c>
      <c r="F984" t="s">
        <v>35</v>
      </c>
      <c r="G984" t="s">
        <v>36</v>
      </c>
      <c r="H984" t="s">
        <v>37</v>
      </c>
      <c r="I984">
        <v>4</v>
      </c>
      <c r="J984">
        <v>9926.16</v>
      </c>
      <c r="K984">
        <v>0.1</v>
      </c>
      <c r="L984">
        <v>35734.18</v>
      </c>
      <c r="M984">
        <v>26062.59</v>
      </c>
      <c r="N984">
        <v>9671.59</v>
      </c>
      <c r="O984" t="s">
        <v>38</v>
      </c>
      <c r="P984" t="s">
        <v>71</v>
      </c>
      <c r="Q984" t="s">
        <v>46</v>
      </c>
      <c r="R984" t="s">
        <v>657</v>
      </c>
      <c r="S984">
        <v>12</v>
      </c>
      <c r="T984" t="s">
        <v>634</v>
      </c>
      <c r="U984">
        <v>0.27065375503229683</v>
      </c>
    </row>
    <row r="985" spans="1:21">
      <c r="A985">
        <v>712</v>
      </c>
      <c r="B985" s="1">
        <v>46018</v>
      </c>
      <c r="C985" t="s">
        <v>119</v>
      </c>
      <c r="D985" t="s">
        <v>409</v>
      </c>
      <c r="E985" t="s">
        <v>76</v>
      </c>
      <c r="F985" t="s">
        <v>113</v>
      </c>
      <c r="G985" t="s">
        <v>44</v>
      </c>
      <c r="H985" t="s">
        <v>26</v>
      </c>
      <c r="I985">
        <v>3</v>
      </c>
      <c r="J985">
        <v>59798.98</v>
      </c>
      <c r="K985">
        <v>0.1</v>
      </c>
      <c r="L985">
        <v>161457.25</v>
      </c>
      <c r="M985">
        <v>138266.9</v>
      </c>
      <c r="N985">
        <v>23190.35</v>
      </c>
      <c r="O985" t="s">
        <v>38</v>
      </c>
      <c r="P985" t="s">
        <v>28</v>
      </c>
      <c r="Q985" t="s">
        <v>46</v>
      </c>
      <c r="R985" t="s">
        <v>657</v>
      </c>
      <c r="S985">
        <v>12</v>
      </c>
      <c r="T985" t="s">
        <v>634</v>
      </c>
      <c r="U985">
        <v>0.14363151855986644</v>
      </c>
    </row>
    <row r="986" spans="1:21">
      <c r="A986">
        <v>151</v>
      </c>
      <c r="B986" s="1">
        <v>46018</v>
      </c>
      <c r="C986" t="s">
        <v>181</v>
      </c>
      <c r="D986" t="s">
        <v>177</v>
      </c>
      <c r="E986" t="s">
        <v>97</v>
      </c>
      <c r="F986" t="s">
        <v>148</v>
      </c>
      <c r="G986" t="s">
        <v>99</v>
      </c>
      <c r="H986" t="s">
        <v>26</v>
      </c>
      <c r="I986">
        <v>1</v>
      </c>
      <c r="J986">
        <v>23206.78</v>
      </c>
      <c r="K986">
        <v>0.15</v>
      </c>
      <c r="L986">
        <v>19725.759999999998</v>
      </c>
      <c r="M986">
        <v>18412.55</v>
      </c>
      <c r="N986">
        <v>1313.21</v>
      </c>
      <c r="O986" t="s">
        <v>27</v>
      </c>
      <c r="P986" t="s">
        <v>45</v>
      </c>
      <c r="Q986" t="s">
        <v>40</v>
      </c>
      <c r="R986" t="s">
        <v>657</v>
      </c>
      <c r="S986">
        <v>12</v>
      </c>
      <c r="T986" t="s">
        <v>634</v>
      </c>
      <c r="U986">
        <v>6.6573353827685228E-2</v>
      </c>
    </row>
    <row r="987" spans="1:21">
      <c r="A987">
        <v>647</v>
      </c>
      <c r="B987" s="1">
        <v>46019</v>
      </c>
      <c r="C987" t="s">
        <v>262</v>
      </c>
      <c r="D987" t="s">
        <v>568</v>
      </c>
      <c r="E987" t="s">
        <v>97</v>
      </c>
      <c r="F987" t="s">
        <v>148</v>
      </c>
      <c r="G987" t="s">
        <v>50</v>
      </c>
      <c r="H987" t="s">
        <v>51</v>
      </c>
      <c r="I987">
        <v>4</v>
      </c>
      <c r="J987">
        <v>510.4</v>
      </c>
      <c r="K987">
        <v>0.05</v>
      </c>
      <c r="L987">
        <v>1939.52</v>
      </c>
      <c r="M987">
        <v>1567.95</v>
      </c>
      <c r="N987">
        <v>371.57</v>
      </c>
      <c r="O987" t="s">
        <v>27</v>
      </c>
      <c r="P987" t="s">
        <v>28</v>
      </c>
      <c r="Q987" t="s">
        <v>29</v>
      </c>
      <c r="R987" t="s">
        <v>657</v>
      </c>
      <c r="S987">
        <v>12</v>
      </c>
      <c r="T987" t="s">
        <v>634</v>
      </c>
      <c r="U987">
        <v>0.19157832865863719</v>
      </c>
    </row>
    <row r="988" spans="1:21">
      <c r="A988">
        <v>98</v>
      </c>
      <c r="B988" s="1">
        <v>46019</v>
      </c>
      <c r="C988" t="s">
        <v>283</v>
      </c>
      <c r="D988" t="s">
        <v>604</v>
      </c>
      <c r="E988" t="s">
        <v>34</v>
      </c>
      <c r="F988" t="s">
        <v>86</v>
      </c>
      <c r="G988" t="s">
        <v>69</v>
      </c>
      <c r="H988" t="s">
        <v>70</v>
      </c>
      <c r="I988">
        <v>1</v>
      </c>
      <c r="J988">
        <v>2558.84</v>
      </c>
      <c r="K988">
        <v>0.1</v>
      </c>
      <c r="L988">
        <v>2302.96</v>
      </c>
      <c r="M988">
        <v>1723.81</v>
      </c>
      <c r="N988">
        <v>579.15</v>
      </c>
      <c r="O988" t="s">
        <v>27</v>
      </c>
      <c r="P988" t="s">
        <v>39</v>
      </c>
      <c r="Q988" t="s">
        <v>40</v>
      </c>
      <c r="R988" t="s">
        <v>657</v>
      </c>
      <c r="S988">
        <v>12</v>
      </c>
      <c r="T988" t="s">
        <v>634</v>
      </c>
      <c r="U988">
        <v>0.25148070309514708</v>
      </c>
    </row>
    <row r="989" spans="1:21">
      <c r="A989">
        <v>720</v>
      </c>
      <c r="B989" s="1">
        <v>46019</v>
      </c>
      <c r="C989" t="s">
        <v>79</v>
      </c>
      <c r="D989" t="s">
        <v>429</v>
      </c>
      <c r="E989" t="s">
        <v>34</v>
      </c>
      <c r="F989" t="s">
        <v>35</v>
      </c>
      <c r="G989" t="s">
        <v>66</v>
      </c>
      <c r="H989" t="s">
        <v>51</v>
      </c>
      <c r="I989">
        <v>1</v>
      </c>
      <c r="J989">
        <v>1375.6</v>
      </c>
      <c r="K989">
        <v>0.1</v>
      </c>
      <c r="L989">
        <v>1238.04</v>
      </c>
      <c r="M989">
        <v>859.83</v>
      </c>
      <c r="N989">
        <v>378.21</v>
      </c>
      <c r="O989" t="s">
        <v>27</v>
      </c>
      <c r="P989" t="s">
        <v>28</v>
      </c>
      <c r="Q989" t="s">
        <v>29</v>
      </c>
      <c r="R989" t="s">
        <v>657</v>
      </c>
      <c r="S989">
        <v>12</v>
      </c>
      <c r="T989" t="s">
        <v>634</v>
      </c>
      <c r="U989">
        <v>0.30549093728797128</v>
      </c>
    </row>
    <row r="990" spans="1:21">
      <c r="A990">
        <v>121</v>
      </c>
      <c r="B990" s="1">
        <v>46020</v>
      </c>
      <c r="C990" t="s">
        <v>512</v>
      </c>
      <c r="D990" t="s">
        <v>576</v>
      </c>
      <c r="E990" t="s">
        <v>76</v>
      </c>
      <c r="F990" t="s">
        <v>81</v>
      </c>
      <c r="G990" t="s">
        <v>66</v>
      </c>
      <c r="H990" t="s">
        <v>51</v>
      </c>
      <c r="I990">
        <v>4</v>
      </c>
      <c r="J990">
        <v>2110.2199999999998</v>
      </c>
      <c r="K990">
        <v>0.02</v>
      </c>
      <c r="L990">
        <v>8272.06</v>
      </c>
      <c r="M990">
        <v>5516.17</v>
      </c>
      <c r="N990">
        <v>2755.89</v>
      </c>
      <c r="O990" t="s">
        <v>38</v>
      </c>
      <c r="P990" t="s">
        <v>45</v>
      </c>
      <c r="Q990" t="s">
        <v>40</v>
      </c>
      <c r="R990" t="s">
        <v>657</v>
      </c>
      <c r="S990">
        <v>12</v>
      </c>
      <c r="T990" t="s">
        <v>634</v>
      </c>
      <c r="U990">
        <v>0.3331564326177518</v>
      </c>
    </row>
    <row r="991" spans="1:21">
      <c r="A991">
        <v>510</v>
      </c>
      <c r="B991" s="1">
        <v>46021</v>
      </c>
      <c r="C991" t="s">
        <v>265</v>
      </c>
      <c r="D991" t="s">
        <v>643</v>
      </c>
      <c r="E991" t="s">
        <v>34</v>
      </c>
      <c r="F991" t="s">
        <v>86</v>
      </c>
      <c r="G991" t="s">
        <v>105</v>
      </c>
      <c r="H991" t="s">
        <v>26</v>
      </c>
      <c r="I991">
        <v>4</v>
      </c>
      <c r="J991">
        <v>3282.62</v>
      </c>
      <c r="K991">
        <v>0.02</v>
      </c>
      <c r="L991">
        <v>12867.87</v>
      </c>
      <c r="M991">
        <v>11316.41</v>
      </c>
      <c r="N991">
        <v>1551.46</v>
      </c>
      <c r="O991" t="s">
        <v>27</v>
      </c>
      <c r="P991" t="s">
        <v>28</v>
      </c>
      <c r="Q991" t="s">
        <v>40</v>
      </c>
      <c r="R991" t="s">
        <v>657</v>
      </c>
      <c r="S991">
        <v>12</v>
      </c>
      <c r="T991" t="s">
        <v>634</v>
      </c>
      <c r="U991">
        <v>0.12056851677861215</v>
      </c>
    </row>
    <row r="992" spans="1:21">
      <c r="A992">
        <v>219</v>
      </c>
      <c r="B992" s="1">
        <v>46021</v>
      </c>
      <c r="C992" t="s">
        <v>189</v>
      </c>
      <c r="D992" t="s">
        <v>310</v>
      </c>
      <c r="E992" t="s">
        <v>54</v>
      </c>
      <c r="F992" t="s">
        <v>108</v>
      </c>
      <c r="G992" t="s">
        <v>134</v>
      </c>
      <c r="H992" t="s">
        <v>26</v>
      </c>
      <c r="I992">
        <v>2</v>
      </c>
      <c r="J992">
        <v>22097.69</v>
      </c>
      <c r="K992">
        <v>0.1</v>
      </c>
      <c r="L992">
        <v>39775.839999999997</v>
      </c>
      <c r="M992">
        <v>38754.800000000003</v>
      </c>
      <c r="N992">
        <v>1021.04</v>
      </c>
      <c r="O992" t="s">
        <v>27</v>
      </c>
      <c r="P992" t="s">
        <v>39</v>
      </c>
      <c r="Q992" t="s">
        <v>40</v>
      </c>
      <c r="R992" t="s">
        <v>657</v>
      </c>
      <c r="S992">
        <v>12</v>
      </c>
      <c r="T992" t="s">
        <v>634</v>
      </c>
      <c r="U992">
        <v>2.5669853861037255E-2</v>
      </c>
    </row>
    <row r="993" spans="1:21">
      <c r="A993">
        <v>896</v>
      </c>
      <c r="B993" s="1">
        <v>46021</v>
      </c>
      <c r="C993" t="s">
        <v>349</v>
      </c>
      <c r="D993" t="s">
        <v>371</v>
      </c>
      <c r="E993" t="s">
        <v>34</v>
      </c>
      <c r="F993" t="s">
        <v>86</v>
      </c>
      <c r="G993" t="s">
        <v>66</v>
      </c>
      <c r="H993" t="s">
        <v>51</v>
      </c>
      <c r="I993">
        <v>1</v>
      </c>
      <c r="J993">
        <v>2139.21</v>
      </c>
      <c r="K993">
        <v>0.1</v>
      </c>
      <c r="L993">
        <v>1925.29</v>
      </c>
      <c r="M993">
        <v>1469.96</v>
      </c>
      <c r="N993">
        <v>455.33</v>
      </c>
      <c r="O993" t="s">
        <v>27</v>
      </c>
      <c r="P993" t="s">
        <v>78</v>
      </c>
      <c r="Q993" t="s">
        <v>40</v>
      </c>
      <c r="R993" t="s">
        <v>657</v>
      </c>
      <c r="S993">
        <v>12</v>
      </c>
      <c r="T993" t="s">
        <v>634</v>
      </c>
      <c r="U993">
        <v>0.23649943644853502</v>
      </c>
    </row>
    <row r="994" spans="1:21">
      <c r="A994">
        <v>625</v>
      </c>
      <c r="B994" s="1">
        <v>46021</v>
      </c>
      <c r="C994" t="s">
        <v>270</v>
      </c>
      <c r="D994" t="s">
        <v>202</v>
      </c>
      <c r="E994" t="s">
        <v>23</v>
      </c>
      <c r="F994" t="s">
        <v>43</v>
      </c>
      <c r="G994" t="s">
        <v>50</v>
      </c>
      <c r="H994" t="s">
        <v>51</v>
      </c>
      <c r="I994">
        <v>4</v>
      </c>
      <c r="J994">
        <v>751.17</v>
      </c>
      <c r="K994">
        <v>0.15</v>
      </c>
      <c r="L994">
        <v>2553.98</v>
      </c>
      <c r="M994">
        <v>2284.4899999999998</v>
      </c>
      <c r="N994">
        <v>269.49</v>
      </c>
      <c r="O994" t="s">
        <v>38</v>
      </c>
      <c r="P994" t="s">
        <v>78</v>
      </c>
      <c r="Q994" t="s">
        <v>40</v>
      </c>
      <c r="R994" t="s">
        <v>657</v>
      </c>
      <c r="S994">
        <v>12</v>
      </c>
      <c r="T994" t="s">
        <v>634</v>
      </c>
      <c r="U994">
        <v>0.1055176626285249</v>
      </c>
    </row>
    <row r="995" spans="1:21">
      <c r="A995">
        <v>441</v>
      </c>
      <c r="B995" s="1">
        <v>46021</v>
      </c>
      <c r="C995" t="s">
        <v>619</v>
      </c>
      <c r="D995" t="s">
        <v>85</v>
      </c>
      <c r="E995" t="s">
        <v>34</v>
      </c>
      <c r="F995" t="s">
        <v>35</v>
      </c>
      <c r="G995" t="s">
        <v>59</v>
      </c>
      <c r="H995" t="s">
        <v>37</v>
      </c>
      <c r="I995">
        <v>2</v>
      </c>
      <c r="J995">
        <v>16731.240000000002</v>
      </c>
      <c r="K995">
        <v>0.15</v>
      </c>
      <c r="L995">
        <v>28443.11</v>
      </c>
      <c r="M995">
        <v>28625.15</v>
      </c>
      <c r="N995">
        <v>-182.04</v>
      </c>
      <c r="O995" t="s">
        <v>27</v>
      </c>
      <c r="P995" t="s">
        <v>39</v>
      </c>
      <c r="Q995" t="s">
        <v>40</v>
      </c>
      <c r="R995" t="s">
        <v>657</v>
      </c>
      <c r="S995">
        <v>12</v>
      </c>
      <c r="T995" t="s">
        <v>634</v>
      </c>
      <c r="U995">
        <v>-6.4001440067559413E-3</v>
      </c>
    </row>
    <row r="996" spans="1:21">
      <c r="A996">
        <v>726</v>
      </c>
      <c r="B996" s="1">
        <v>46022</v>
      </c>
      <c r="C996" t="s">
        <v>275</v>
      </c>
      <c r="D996" t="s">
        <v>604</v>
      </c>
      <c r="E996" t="s">
        <v>34</v>
      </c>
      <c r="F996" t="s">
        <v>35</v>
      </c>
      <c r="G996" t="s">
        <v>134</v>
      </c>
      <c r="H996" t="s">
        <v>26</v>
      </c>
      <c r="I996">
        <v>1</v>
      </c>
      <c r="J996">
        <v>28458.69</v>
      </c>
      <c r="K996">
        <v>0.02</v>
      </c>
      <c r="L996">
        <v>27889.52</v>
      </c>
      <c r="M996">
        <v>24435.119999999999</v>
      </c>
      <c r="N996">
        <v>3454.4</v>
      </c>
      <c r="O996" t="s">
        <v>38</v>
      </c>
      <c r="P996" t="s">
        <v>28</v>
      </c>
      <c r="Q996" t="s">
        <v>29</v>
      </c>
      <c r="R996" t="s">
        <v>657</v>
      </c>
      <c r="S996">
        <v>12</v>
      </c>
      <c r="T996" t="s">
        <v>634</v>
      </c>
      <c r="U996">
        <v>0.12386014531623349</v>
      </c>
    </row>
    <row r="997" spans="1:21">
      <c r="A997">
        <v>926</v>
      </c>
      <c r="B997" s="1">
        <v>46022</v>
      </c>
      <c r="C997" t="s">
        <v>589</v>
      </c>
      <c r="D997" t="s">
        <v>186</v>
      </c>
      <c r="E997" t="s">
        <v>54</v>
      </c>
      <c r="F997" t="s">
        <v>55</v>
      </c>
      <c r="G997" t="s">
        <v>105</v>
      </c>
      <c r="H997" t="s">
        <v>26</v>
      </c>
      <c r="I997">
        <v>4</v>
      </c>
      <c r="J997">
        <v>2048.21</v>
      </c>
      <c r="K997">
        <v>0.02</v>
      </c>
      <c r="L997">
        <v>8028.98</v>
      </c>
      <c r="M997">
        <v>7061.72</v>
      </c>
      <c r="N997">
        <v>967.26</v>
      </c>
      <c r="O997" t="s">
        <v>38</v>
      </c>
      <c r="P997" t="s">
        <v>71</v>
      </c>
      <c r="Q997" t="s">
        <v>46</v>
      </c>
      <c r="R997" t="s">
        <v>657</v>
      </c>
      <c r="S997">
        <v>12</v>
      </c>
      <c r="T997" t="s">
        <v>634</v>
      </c>
      <c r="U997">
        <v>0.12047109346392693</v>
      </c>
    </row>
    <row r="998" spans="1:21">
      <c r="A998">
        <v>735</v>
      </c>
      <c r="B998" s="1">
        <v>46022</v>
      </c>
      <c r="C998" t="s">
        <v>181</v>
      </c>
      <c r="D998" t="s">
        <v>65</v>
      </c>
      <c r="E998" t="s">
        <v>97</v>
      </c>
      <c r="F998" t="s">
        <v>104</v>
      </c>
      <c r="G998" t="s">
        <v>50</v>
      </c>
      <c r="H998" t="s">
        <v>51</v>
      </c>
      <c r="I998">
        <v>4</v>
      </c>
      <c r="J998">
        <v>958.36</v>
      </c>
      <c r="K998">
        <v>0.15</v>
      </c>
      <c r="L998">
        <v>3258.42</v>
      </c>
      <c r="M998">
        <v>2507.86</v>
      </c>
      <c r="N998">
        <v>750.56</v>
      </c>
      <c r="O998" t="s">
        <v>38</v>
      </c>
      <c r="P998" t="s">
        <v>28</v>
      </c>
      <c r="Q998" t="s">
        <v>40</v>
      </c>
      <c r="R998" t="s">
        <v>657</v>
      </c>
      <c r="S998">
        <v>12</v>
      </c>
      <c r="T998" t="s">
        <v>634</v>
      </c>
      <c r="U998">
        <v>0.23034476832329778</v>
      </c>
    </row>
    <row r="999" spans="1:21">
      <c r="A999">
        <v>46</v>
      </c>
      <c r="B999" s="1">
        <v>46022</v>
      </c>
      <c r="C999" t="s">
        <v>151</v>
      </c>
      <c r="D999" t="s">
        <v>141</v>
      </c>
      <c r="E999" t="s">
        <v>23</v>
      </c>
      <c r="F999" t="s">
        <v>24</v>
      </c>
      <c r="G999" t="s">
        <v>134</v>
      </c>
      <c r="H999" t="s">
        <v>26</v>
      </c>
      <c r="I999">
        <v>2</v>
      </c>
      <c r="J999">
        <v>21009.9</v>
      </c>
      <c r="K999">
        <v>0.05</v>
      </c>
      <c r="L999">
        <v>39918.81</v>
      </c>
      <c r="M999">
        <v>32403.119999999999</v>
      </c>
      <c r="N999">
        <v>7515.69</v>
      </c>
      <c r="O999" t="s">
        <v>38</v>
      </c>
      <c r="P999" t="s">
        <v>78</v>
      </c>
      <c r="Q999" t="s">
        <v>40</v>
      </c>
      <c r="R999" t="s">
        <v>657</v>
      </c>
      <c r="S999">
        <v>12</v>
      </c>
      <c r="T999" t="s">
        <v>634</v>
      </c>
      <c r="U999">
        <v>0.18827439996332557</v>
      </c>
    </row>
    <row r="1000" spans="1:21">
      <c r="A1000">
        <v>716</v>
      </c>
      <c r="B1000" s="1">
        <v>46022</v>
      </c>
      <c r="C1000" t="s">
        <v>665</v>
      </c>
      <c r="D1000" t="s">
        <v>133</v>
      </c>
      <c r="E1000" t="s">
        <v>54</v>
      </c>
      <c r="F1000" t="s">
        <v>127</v>
      </c>
      <c r="G1000" t="s">
        <v>36</v>
      </c>
      <c r="H1000" t="s">
        <v>37</v>
      </c>
      <c r="I1000">
        <v>1</v>
      </c>
      <c r="J1000">
        <v>5826.74</v>
      </c>
      <c r="K1000">
        <v>0.02</v>
      </c>
      <c r="L1000">
        <v>5710.21</v>
      </c>
      <c r="M1000">
        <v>4005.56</v>
      </c>
      <c r="N1000">
        <v>1704.65</v>
      </c>
      <c r="O1000" t="s">
        <v>27</v>
      </c>
      <c r="P1000" t="s">
        <v>78</v>
      </c>
      <c r="Q1000" t="s">
        <v>29</v>
      </c>
      <c r="R1000" t="s">
        <v>657</v>
      </c>
      <c r="S1000">
        <v>12</v>
      </c>
      <c r="T1000" t="s">
        <v>634</v>
      </c>
      <c r="U1000">
        <v>0.29852667415033773</v>
      </c>
    </row>
    <row r="1001" spans="1:21">
      <c r="A1001">
        <v>215</v>
      </c>
      <c r="B1001" s="1">
        <v>46022</v>
      </c>
      <c r="C1001" t="s">
        <v>299</v>
      </c>
      <c r="D1001" t="s">
        <v>238</v>
      </c>
      <c r="E1001" t="s">
        <v>34</v>
      </c>
      <c r="F1001" t="s">
        <v>49</v>
      </c>
      <c r="G1001" t="s">
        <v>62</v>
      </c>
      <c r="H1001" t="s">
        <v>63</v>
      </c>
      <c r="I1001">
        <v>2</v>
      </c>
      <c r="J1001">
        <v>302.69</v>
      </c>
      <c r="K1001">
        <v>0.02</v>
      </c>
      <c r="L1001">
        <v>593.27</v>
      </c>
      <c r="M1001">
        <v>425.19</v>
      </c>
      <c r="N1001">
        <v>168.08</v>
      </c>
      <c r="O1001" t="s">
        <v>27</v>
      </c>
      <c r="P1001" t="s">
        <v>39</v>
      </c>
      <c r="Q1001" t="s">
        <v>40</v>
      </c>
      <c r="R1001" t="s">
        <v>657</v>
      </c>
      <c r="S1001">
        <v>12</v>
      </c>
      <c r="T1001" t="s">
        <v>634</v>
      </c>
      <c r="U1001">
        <v>0.28331113995314111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30959-A5F5-45CB-80C4-434AFB047B76}">
  <dimension ref="A1:D14"/>
  <sheetViews>
    <sheetView workbookViewId="0">
      <selection activeCell="B13" sqref="B13"/>
    </sheetView>
  </sheetViews>
  <sheetFormatPr defaultRowHeight="14.4"/>
  <cols>
    <col min="1" max="1" width="23.6640625" bestFit="1" customWidth="1"/>
    <col min="2" max="2" width="20.33203125" bestFit="1" customWidth="1"/>
    <col min="4" max="4" width="45.21875" bestFit="1" customWidth="1"/>
  </cols>
  <sheetData>
    <row r="1" spans="1:4" s="2" customFormat="1">
      <c r="A1" s="2" t="s">
        <v>675</v>
      </c>
      <c r="B1" s="2" t="s">
        <v>676</v>
      </c>
    </row>
    <row r="2" spans="1:4" s="2" customFormat="1">
      <c r="A2" s="2" t="s">
        <v>677</v>
      </c>
      <c r="B2" s="2" t="s">
        <v>678</v>
      </c>
    </row>
    <row r="3" spans="1:4">
      <c r="A3" t="s">
        <v>679</v>
      </c>
      <c r="B3">
        <v>1000</v>
      </c>
    </row>
    <row r="5" spans="1:4">
      <c r="A5" s="2" t="s">
        <v>666</v>
      </c>
      <c r="B5" s="2" t="s">
        <v>680</v>
      </c>
      <c r="C5" s="2" t="s">
        <v>681</v>
      </c>
      <c r="D5" s="2" t="s">
        <v>682</v>
      </c>
    </row>
    <row r="6" spans="1:4">
      <c r="A6" t="s">
        <v>683</v>
      </c>
      <c r="B6">
        <v>1000</v>
      </c>
      <c r="C6" t="s">
        <v>684</v>
      </c>
      <c r="D6" t="s">
        <v>685</v>
      </c>
    </row>
    <row r="7" spans="1:4">
      <c r="A7" t="s">
        <v>686</v>
      </c>
      <c r="B7">
        <v>0</v>
      </c>
      <c r="C7" t="s">
        <v>684</v>
      </c>
      <c r="D7" t="s">
        <v>687</v>
      </c>
    </row>
    <row r="8" spans="1:4">
      <c r="A8" t="s">
        <v>688</v>
      </c>
      <c r="B8">
        <v>1000</v>
      </c>
      <c r="C8" t="s">
        <v>684</v>
      </c>
      <c r="D8" t="s">
        <v>689</v>
      </c>
    </row>
    <row r="9" spans="1:4">
      <c r="A9" t="s">
        <v>690</v>
      </c>
      <c r="B9">
        <v>0</v>
      </c>
      <c r="C9" t="s">
        <v>684</v>
      </c>
      <c r="D9" t="s">
        <v>691</v>
      </c>
    </row>
    <row r="10" spans="1:4">
      <c r="A10" t="s">
        <v>692</v>
      </c>
      <c r="B10">
        <v>68.37</v>
      </c>
      <c r="C10" t="s">
        <v>693</v>
      </c>
      <c r="D10" t="s">
        <v>694</v>
      </c>
    </row>
    <row r="11" spans="1:4">
      <c r="A11" t="s">
        <v>695</v>
      </c>
      <c r="B11">
        <v>294246.68</v>
      </c>
      <c r="C11" t="s">
        <v>693</v>
      </c>
      <c r="D11" t="s">
        <v>696</v>
      </c>
    </row>
    <row r="12" spans="1:4">
      <c r="A12" t="s">
        <v>697</v>
      </c>
      <c r="B12">
        <v>18</v>
      </c>
      <c r="C12" t="s">
        <v>693</v>
      </c>
      <c r="D12" t="s">
        <v>698</v>
      </c>
    </row>
    <row r="13" spans="1:4">
      <c r="A13" t="s">
        <v>699</v>
      </c>
      <c r="B13">
        <v>0</v>
      </c>
      <c r="C13" t="s">
        <v>684</v>
      </c>
      <c r="D13" t="s">
        <v>700</v>
      </c>
    </row>
    <row r="14" spans="1:4">
      <c r="A14" t="s">
        <v>701</v>
      </c>
      <c r="B14" t="s">
        <v>702</v>
      </c>
      <c r="C14" t="s">
        <v>693</v>
      </c>
      <c r="D14" t="s">
        <v>703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5EE71-654E-4120-9D58-3059DFC3AB16}">
  <dimension ref="A1:C9"/>
  <sheetViews>
    <sheetView workbookViewId="0">
      <selection activeCell="B9" sqref="B9"/>
    </sheetView>
  </sheetViews>
  <sheetFormatPr defaultRowHeight="14.4"/>
  <cols>
    <col min="1" max="1" width="33.88671875" bestFit="1" customWidth="1"/>
    <col min="3" max="3" width="15.44140625" bestFit="1" customWidth="1"/>
  </cols>
  <sheetData>
    <row r="1" spans="1:3">
      <c r="A1" s="3" t="s">
        <v>704</v>
      </c>
    </row>
    <row r="3" spans="1:3">
      <c r="A3" s="4" t="s">
        <v>705</v>
      </c>
      <c r="B3" s="4" t="s">
        <v>706</v>
      </c>
      <c r="C3" s="4" t="s">
        <v>707</v>
      </c>
    </row>
    <row r="4" spans="1:3" ht="28.8">
      <c r="A4" s="5" t="s">
        <v>708</v>
      </c>
      <c r="B4" s="6">
        <f>SUM(SalesData[Sales])</f>
        <v>26693247.130000029</v>
      </c>
      <c r="C4" s="4"/>
    </row>
    <row r="5" spans="1:3" ht="28.8">
      <c r="A5" s="5" t="s">
        <v>709</v>
      </c>
      <c r="B5" s="6">
        <f>SUM(SalesData[Profit])</f>
        <v>5218087.1300000008</v>
      </c>
      <c r="C5" s="4"/>
    </row>
    <row r="6" spans="1:3" ht="28.8">
      <c r="A6" s="5" t="s">
        <v>714</v>
      </c>
      <c r="B6" s="6">
        <f>SUM(SalesData[Quantity])</f>
        <v>2004</v>
      </c>
      <c r="C6" s="4"/>
    </row>
    <row r="7" spans="1:3" ht="28.8">
      <c r="A7" s="5" t="s">
        <v>713</v>
      </c>
      <c r="B7" s="6">
        <f>COUNTA(SalesData[Order_ID])</f>
        <v>1000</v>
      </c>
      <c r="C7" s="4"/>
    </row>
    <row r="8" spans="1:3" ht="28.8">
      <c r="A8" s="5" t="s">
        <v>712</v>
      </c>
      <c r="B8" s="6">
        <f>AVERAGE(SalesData[Sales])</f>
        <v>26693.247130000029</v>
      </c>
      <c r="C8" s="4"/>
    </row>
    <row r="9" spans="1:3" ht="28.8">
      <c r="A9" s="5" t="s">
        <v>711</v>
      </c>
      <c r="B9" s="7">
        <f>IFERROR(B5/B4,0)</f>
        <v>0.19548341588369339</v>
      </c>
      <c r="C9"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E50F9-6AFD-40F9-8FD0-A2305820DF2C}">
  <dimension ref="A3:E9"/>
  <sheetViews>
    <sheetView workbookViewId="0">
      <selection activeCell="A5" sqref="A5"/>
    </sheetView>
  </sheetViews>
  <sheetFormatPr defaultRowHeight="14.4"/>
  <cols>
    <col min="1" max="1" width="12.5546875" bestFit="1" customWidth="1"/>
    <col min="2" max="2" width="11.6640625" bestFit="1" customWidth="1"/>
    <col min="3" max="3" width="12.109375" bestFit="1" customWidth="1"/>
    <col min="5" max="5" width="11.6640625" bestFit="1" customWidth="1"/>
  </cols>
  <sheetData>
    <row r="3" spans="1:5">
      <c r="A3" s="8" t="s">
        <v>715</v>
      </c>
      <c r="B3" t="s">
        <v>717</v>
      </c>
      <c r="C3" t="s">
        <v>718</v>
      </c>
      <c r="E3" t="s">
        <v>710</v>
      </c>
    </row>
    <row r="4" spans="1:5">
      <c r="A4" s="9" t="s">
        <v>34</v>
      </c>
      <c r="B4" s="15">
        <v>5911021.2699999996</v>
      </c>
      <c r="C4" s="15">
        <v>1210050.4200000004</v>
      </c>
      <c r="E4" s="10">
        <f>C4/B4</f>
        <v>0.20471088915570768</v>
      </c>
    </row>
    <row r="5" spans="1:5">
      <c r="A5" s="9" t="s">
        <v>716</v>
      </c>
      <c r="B5" s="15">
        <v>5911021.2699999996</v>
      </c>
      <c r="C5" s="15">
        <v>1210050.4200000004</v>
      </c>
      <c r="E5" s="10">
        <f t="shared" ref="E5:E9" si="0">C5/B5</f>
        <v>0.20471088915570768</v>
      </c>
    </row>
    <row r="6" spans="1:5">
      <c r="E6" s="10" t="e">
        <f t="shared" si="0"/>
        <v>#DIV/0!</v>
      </c>
    </row>
    <row r="7" spans="1:5">
      <c r="E7" s="10" t="e">
        <f t="shared" si="0"/>
        <v>#DIV/0!</v>
      </c>
    </row>
    <row r="8" spans="1:5">
      <c r="E8" s="10" t="e">
        <f t="shared" si="0"/>
        <v>#DIV/0!</v>
      </c>
    </row>
    <row r="9" spans="1:5">
      <c r="E9" s="10" t="e">
        <f t="shared" si="0"/>
        <v>#DIV/0!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C3DF0-D306-4DBC-A21B-CD3FF2F3C735}">
  <dimension ref="A3:D21"/>
  <sheetViews>
    <sheetView workbookViewId="0">
      <selection activeCell="A3" sqref="A3:C9"/>
    </sheetView>
  </sheetViews>
  <sheetFormatPr defaultRowHeight="14.4"/>
  <cols>
    <col min="1" max="1" width="12.5546875" bestFit="1" customWidth="1"/>
    <col min="2" max="2" width="11.6640625" bestFit="1" customWidth="1"/>
    <col min="3" max="3" width="12.109375" bestFit="1" customWidth="1"/>
    <col min="4" max="4" width="11.6640625" bestFit="1" customWidth="1"/>
  </cols>
  <sheetData>
    <row r="3" spans="1:4">
      <c r="A3" s="8" t="s">
        <v>715</v>
      </c>
      <c r="B3" t="s">
        <v>717</v>
      </c>
      <c r="C3" t="s">
        <v>718</v>
      </c>
      <c r="D3" t="s">
        <v>710</v>
      </c>
    </row>
    <row r="4" spans="1:4">
      <c r="A4" s="9" t="s">
        <v>70</v>
      </c>
      <c r="B4" s="15">
        <v>129783.9</v>
      </c>
      <c r="C4" s="15">
        <v>23507.679999999997</v>
      </c>
      <c r="D4" s="10">
        <f>C4/B4</f>
        <v>0.18112940048804202</v>
      </c>
    </row>
    <row r="5" spans="1:4">
      <c r="A5" s="9" t="s">
        <v>26</v>
      </c>
      <c r="B5" s="15">
        <v>5040127.5200000014</v>
      </c>
      <c r="C5" s="15">
        <v>1042142.5400000004</v>
      </c>
      <c r="D5" s="10">
        <f t="shared" ref="D5:D9" si="0">C5/B5</f>
        <v>0.20676908190608639</v>
      </c>
    </row>
    <row r="6" spans="1:4">
      <c r="A6" s="9" t="s">
        <v>37</v>
      </c>
      <c r="B6" s="15">
        <v>664200.32000000018</v>
      </c>
      <c r="C6" s="15">
        <v>128686.31000000001</v>
      </c>
      <c r="D6" s="10">
        <f t="shared" si="0"/>
        <v>0.19374623306414543</v>
      </c>
    </row>
    <row r="7" spans="1:4">
      <c r="A7" s="9" t="s">
        <v>51</v>
      </c>
      <c r="B7" s="15">
        <v>67693</v>
      </c>
      <c r="C7" s="15">
        <v>13790.86</v>
      </c>
      <c r="D7" s="10">
        <f t="shared" si="0"/>
        <v>0.20372653006957883</v>
      </c>
    </row>
    <row r="8" spans="1:4">
      <c r="A8" s="9" t="s">
        <v>63</v>
      </c>
      <c r="B8" s="15">
        <v>9216.5300000000007</v>
      </c>
      <c r="C8" s="15">
        <v>1923.0300000000002</v>
      </c>
      <c r="D8" s="10">
        <f t="shared" si="0"/>
        <v>0.20865011018246565</v>
      </c>
    </row>
    <row r="9" spans="1:4">
      <c r="A9" s="9" t="s">
        <v>716</v>
      </c>
      <c r="B9" s="15">
        <v>5911021.2700000023</v>
      </c>
      <c r="C9" s="15">
        <v>1210050.4200000006</v>
      </c>
      <c r="D9" s="10">
        <f t="shared" si="0"/>
        <v>0.20471088915570762</v>
      </c>
    </row>
    <row r="14" spans="1:4">
      <c r="A14" s="12" t="s">
        <v>719</v>
      </c>
      <c r="B14" s="13"/>
      <c r="C14" s="13"/>
      <c r="D14" s="13"/>
    </row>
    <row r="15" spans="1:4">
      <c r="A15" s="13"/>
      <c r="B15" s="13"/>
      <c r="C15" s="13"/>
      <c r="D15" s="13"/>
    </row>
    <row r="16" spans="1:4">
      <c r="A16" s="13"/>
      <c r="B16" s="13"/>
      <c r="C16" s="13"/>
      <c r="D16" s="13"/>
    </row>
    <row r="17" spans="1:4">
      <c r="A17" s="13"/>
      <c r="B17" s="13"/>
      <c r="C17" s="13"/>
      <c r="D17" s="13"/>
    </row>
    <row r="18" spans="1:4">
      <c r="A18" s="13"/>
      <c r="B18" s="13"/>
      <c r="C18" s="13"/>
      <c r="D18" s="13"/>
    </row>
    <row r="19" spans="1:4">
      <c r="A19" s="13"/>
      <c r="B19" s="13"/>
      <c r="C19" s="13"/>
      <c r="D19" s="13"/>
    </row>
    <row r="20" spans="1:4">
      <c r="A20" s="13"/>
      <c r="B20" s="13"/>
      <c r="C20" s="13"/>
      <c r="D20" s="13"/>
    </row>
    <row r="21" spans="1:4">
      <c r="A21" s="13"/>
      <c r="B21" s="13"/>
      <c r="C21" s="13"/>
      <c r="D21" s="13"/>
    </row>
  </sheetData>
  <mergeCells count="1">
    <mergeCell ref="A14:D2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21688-71D8-4180-8C90-53EDCB820DC9}">
  <sheetPr filterMode="1"/>
  <dimension ref="A3:O33"/>
  <sheetViews>
    <sheetView topLeftCell="A3" workbookViewId="0">
      <selection activeCell="O25" sqref="O25"/>
    </sheetView>
  </sheetViews>
  <sheetFormatPr defaultRowHeight="14.4"/>
  <cols>
    <col min="1" max="1" width="12.5546875" bestFit="1" customWidth="1"/>
    <col min="2" max="2" width="11.6640625" bestFit="1" customWidth="1"/>
    <col min="3" max="3" width="12.109375" bestFit="1" customWidth="1"/>
    <col min="4" max="4" width="14.88671875" bestFit="1" customWidth="1"/>
  </cols>
  <sheetData>
    <row r="3" spans="1:15">
      <c r="A3" s="8" t="s">
        <v>715</v>
      </c>
      <c r="B3" t="s">
        <v>717</v>
      </c>
      <c r="C3" t="s">
        <v>718</v>
      </c>
      <c r="D3" t="s">
        <v>720</v>
      </c>
      <c r="G3" s="12" t="s">
        <v>721</v>
      </c>
      <c r="H3" s="13"/>
      <c r="I3" s="13"/>
      <c r="J3" s="13"/>
      <c r="K3" s="13"/>
      <c r="L3" s="13"/>
      <c r="M3" s="13"/>
      <c r="N3" s="13"/>
      <c r="O3" s="13"/>
    </row>
    <row r="4" spans="1:15">
      <c r="A4" s="9" t="s">
        <v>44</v>
      </c>
      <c r="B4" s="15">
        <v>2121743.17</v>
      </c>
      <c r="C4" s="15">
        <v>464492.56</v>
      </c>
      <c r="D4" s="15">
        <v>34</v>
      </c>
      <c r="G4" s="13"/>
      <c r="H4" s="13"/>
      <c r="I4" s="13"/>
      <c r="J4" s="13"/>
      <c r="K4" s="13"/>
      <c r="L4" s="13"/>
      <c r="M4" s="13"/>
      <c r="N4" s="13"/>
      <c r="O4" s="13"/>
    </row>
    <row r="5" spans="1:15">
      <c r="A5" s="9" t="s">
        <v>134</v>
      </c>
      <c r="B5" s="15">
        <v>1746781.99</v>
      </c>
      <c r="C5" s="15">
        <v>312036.87</v>
      </c>
      <c r="D5" s="15">
        <v>53</v>
      </c>
      <c r="G5" s="13"/>
      <c r="H5" s="13"/>
      <c r="I5" s="13"/>
      <c r="J5" s="13"/>
      <c r="K5" s="13"/>
      <c r="L5" s="13"/>
      <c r="M5" s="13"/>
      <c r="N5" s="13"/>
      <c r="O5" s="13"/>
    </row>
    <row r="6" spans="1:15">
      <c r="A6" s="9" t="s">
        <v>99</v>
      </c>
      <c r="B6" s="15">
        <v>619819.26</v>
      </c>
      <c r="C6" s="15">
        <v>144136.65000000002</v>
      </c>
      <c r="D6" s="15">
        <v>34</v>
      </c>
      <c r="G6" s="13"/>
      <c r="H6" s="13"/>
      <c r="I6" s="13"/>
      <c r="J6" s="13"/>
      <c r="K6" s="13"/>
      <c r="L6" s="13"/>
      <c r="M6" s="13"/>
      <c r="N6" s="13"/>
      <c r="O6" s="13"/>
    </row>
    <row r="7" spans="1:15">
      <c r="A7" s="9" t="s">
        <v>25</v>
      </c>
      <c r="B7" s="15">
        <v>402628.78999999992</v>
      </c>
      <c r="C7" s="15">
        <v>90333.569999999992</v>
      </c>
      <c r="D7" s="15">
        <v>34</v>
      </c>
      <c r="G7" s="13"/>
      <c r="H7" s="13"/>
      <c r="I7" s="13"/>
      <c r="J7" s="13"/>
      <c r="K7" s="13"/>
      <c r="L7" s="13"/>
      <c r="M7" s="13"/>
      <c r="N7" s="13"/>
      <c r="O7" s="13"/>
    </row>
    <row r="8" spans="1:15">
      <c r="A8" s="9" t="s">
        <v>59</v>
      </c>
      <c r="B8" s="15">
        <v>381631.66000000003</v>
      </c>
      <c r="C8" s="15">
        <v>66320.63</v>
      </c>
      <c r="D8" s="15">
        <v>36</v>
      </c>
    </row>
    <row r="9" spans="1:15">
      <c r="A9" s="9" t="s">
        <v>36</v>
      </c>
      <c r="B9" s="15">
        <v>282568.66000000003</v>
      </c>
      <c r="C9" s="15">
        <v>62365.679999999993</v>
      </c>
      <c r="D9" s="15">
        <v>34</v>
      </c>
    </row>
    <row r="10" spans="1:15">
      <c r="A10" s="9" t="s">
        <v>105</v>
      </c>
      <c r="B10" s="15">
        <v>149154.31000000006</v>
      </c>
      <c r="C10" s="15">
        <v>31142.890000000007</v>
      </c>
      <c r="D10" s="15">
        <v>37</v>
      </c>
    </row>
    <row r="11" spans="1:15">
      <c r="A11" s="9" t="s">
        <v>69</v>
      </c>
      <c r="B11" s="15">
        <v>85867.93</v>
      </c>
      <c r="C11" s="15">
        <v>13721.040000000003</v>
      </c>
      <c r="D11" s="15">
        <v>39</v>
      </c>
    </row>
    <row r="12" spans="1:15">
      <c r="A12" s="9" t="s">
        <v>66</v>
      </c>
      <c r="B12" s="15">
        <v>45706.62000000001</v>
      </c>
      <c r="C12" s="15">
        <v>8788.65</v>
      </c>
      <c r="D12" s="15">
        <v>25</v>
      </c>
    </row>
    <row r="13" spans="1:15">
      <c r="A13" s="9" t="s">
        <v>145</v>
      </c>
      <c r="B13" s="15">
        <v>43915.969999999994</v>
      </c>
      <c r="C13" s="15">
        <v>9786.64</v>
      </c>
      <c r="D13" s="15">
        <v>33</v>
      </c>
    </row>
    <row r="14" spans="1:15">
      <c r="A14" s="9" t="s">
        <v>50</v>
      </c>
      <c r="B14" s="15">
        <v>21986.38</v>
      </c>
      <c r="C14" s="15">
        <v>5002.2099999999991</v>
      </c>
      <c r="D14" s="15">
        <v>30</v>
      </c>
    </row>
    <row r="15" spans="1:15">
      <c r="A15" s="9" t="s">
        <v>62</v>
      </c>
      <c r="B15" s="15">
        <v>9216.5300000000007</v>
      </c>
      <c r="C15" s="15">
        <v>1923.0300000000002</v>
      </c>
      <c r="D15" s="15">
        <v>36</v>
      </c>
    </row>
    <row r="16" spans="1:15">
      <c r="A16" s="9" t="s">
        <v>716</v>
      </c>
      <c r="B16" s="15">
        <v>5911021.2700000005</v>
      </c>
      <c r="C16" s="15">
        <v>1210050.42</v>
      </c>
      <c r="D16" s="15">
        <v>425</v>
      </c>
    </row>
    <row r="21" spans="1:2">
      <c r="A21" s="11" t="s">
        <v>715</v>
      </c>
      <c r="B21" s="11" t="s">
        <v>717</v>
      </c>
    </row>
    <row r="22" spans="1:2" hidden="1">
      <c r="A22" s="9" t="s">
        <v>44</v>
      </c>
      <c r="B22">
        <v>42707.390000000007</v>
      </c>
    </row>
    <row r="23" spans="1:2" hidden="1">
      <c r="A23" s="9" t="s">
        <v>134</v>
      </c>
      <c r="B23">
        <v>129222.58999999997</v>
      </c>
    </row>
    <row r="24" spans="1:2">
      <c r="A24" s="9" t="s">
        <v>99</v>
      </c>
      <c r="B24">
        <v>222435.21000000005</v>
      </c>
    </row>
    <row r="25" spans="1:2">
      <c r="A25" s="9" t="s">
        <v>59</v>
      </c>
      <c r="B25">
        <v>310489.67</v>
      </c>
    </row>
    <row r="26" spans="1:2">
      <c r="A26" s="9" t="s">
        <v>25</v>
      </c>
      <c r="B26">
        <v>325350.46999999991</v>
      </c>
    </row>
    <row r="27" spans="1:2">
      <c r="A27" s="9" t="s">
        <v>36</v>
      </c>
      <c r="B27">
        <v>614540.62999999989</v>
      </c>
    </row>
    <row r="28" spans="1:2">
      <c r="A28" s="9" t="s">
        <v>105</v>
      </c>
      <c r="B28">
        <v>1501293.9999999993</v>
      </c>
    </row>
    <row r="29" spans="1:2">
      <c r="A29" s="9" t="s">
        <v>66</v>
      </c>
      <c r="B29">
        <v>1941008.3200000003</v>
      </c>
    </row>
    <row r="30" spans="1:2">
      <c r="A30" s="9" t="s">
        <v>69</v>
      </c>
      <c r="B30">
        <v>2044131.4699999997</v>
      </c>
    </row>
    <row r="31" spans="1:2">
      <c r="A31" s="9" t="s">
        <v>145</v>
      </c>
      <c r="B31">
        <v>2971153.46</v>
      </c>
    </row>
    <row r="32" spans="1:2">
      <c r="A32" s="9" t="s">
        <v>50</v>
      </c>
      <c r="B32">
        <v>6568381.2600000007</v>
      </c>
    </row>
    <row r="33" spans="1:2">
      <c r="A33" s="9" t="s">
        <v>62</v>
      </c>
      <c r="B33">
        <v>10022532.660000002</v>
      </c>
    </row>
  </sheetData>
  <autoFilter ref="B21:B33" xr:uid="{9D221688-71D8-4180-8C90-53EDCB820DC9}">
    <filterColumn colId="0">
      <top10 val="10" filterVal="222435.21000000005"/>
    </filterColumn>
  </autoFilter>
  <sortState xmlns:xlrd2="http://schemas.microsoft.com/office/spreadsheetml/2017/richdata2" ref="B22:B33">
    <sortCondition ref="B22:B33"/>
  </sortState>
  <mergeCells count="1">
    <mergeCell ref="G3:O7"/>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625A4-EA1B-46A3-9093-B315EF1D5ECB}">
  <dimension ref="A3:D32"/>
  <sheetViews>
    <sheetView workbookViewId="0">
      <selection activeCell="D6" sqref="D6"/>
    </sheetView>
  </sheetViews>
  <sheetFormatPr defaultRowHeight="14.4"/>
  <cols>
    <col min="1" max="1" width="12.5546875" bestFit="1" customWidth="1"/>
    <col min="2" max="2" width="12" bestFit="1" customWidth="1"/>
    <col min="3" max="3" width="12.109375" bestFit="1" customWidth="1"/>
    <col min="4" max="4" width="16.44140625" bestFit="1" customWidth="1"/>
  </cols>
  <sheetData>
    <row r="3" spans="1:4">
      <c r="A3" s="8" t="s">
        <v>715</v>
      </c>
      <c r="B3" t="s">
        <v>717</v>
      </c>
      <c r="C3" t="s">
        <v>718</v>
      </c>
      <c r="D3" t="s">
        <v>722</v>
      </c>
    </row>
    <row r="4" spans="1:4">
      <c r="A4" s="9" t="s">
        <v>30</v>
      </c>
      <c r="B4" s="15">
        <v>364376.78</v>
      </c>
      <c r="C4" s="15">
        <v>65434.97</v>
      </c>
      <c r="D4" s="15">
        <v>20</v>
      </c>
    </row>
    <row r="5" spans="1:4">
      <c r="A5" s="9" t="s">
        <v>224</v>
      </c>
      <c r="B5" s="15">
        <v>231485.3</v>
      </c>
      <c r="C5" s="15">
        <v>62472.390000000007</v>
      </c>
      <c r="D5" s="15">
        <v>16</v>
      </c>
    </row>
    <row r="6" spans="1:4">
      <c r="A6" s="9" t="s">
        <v>306</v>
      </c>
      <c r="B6" s="15">
        <v>123912.29000000001</v>
      </c>
      <c r="C6" s="15">
        <v>14560.23</v>
      </c>
      <c r="D6" s="15">
        <v>13</v>
      </c>
    </row>
    <row r="7" spans="1:4">
      <c r="A7" s="9" t="s">
        <v>378</v>
      </c>
      <c r="B7" s="15">
        <v>528408.52</v>
      </c>
      <c r="C7" s="15">
        <v>90548.51999999999</v>
      </c>
      <c r="D7" s="15">
        <v>24</v>
      </c>
    </row>
    <row r="8" spans="1:4">
      <c r="A8" s="9" t="s">
        <v>449</v>
      </c>
      <c r="B8" s="15">
        <v>245958.59999999998</v>
      </c>
      <c r="C8" s="15">
        <v>57110.799999999996</v>
      </c>
      <c r="D8" s="15">
        <v>14</v>
      </c>
    </row>
    <row r="9" spans="1:4">
      <c r="A9" s="9" t="s">
        <v>510</v>
      </c>
      <c r="B9" s="15">
        <v>285393.05000000005</v>
      </c>
      <c r="C9" s="15">
        <v>59322.47</v>
      </c>
      <c r="D9" s="15">
        <v>16</v>
      </c>
    </row>
    <row r="10" spans="1:4">
      <c r="A10" s="9" t="s">
        <v>549</v>
      </c>
      <c r="B10" s="15">
        <v>632309.97000000009</v>
      </c>
      <c r="C10" s="15">
        <v>135648.67999999996</v>
      </c>
      <c r="D10" s="15">
        <v>19</v>
      </c>
    </row>
    <row r="11" spans="1:4">
      <c r="A11" s="9" t="s">
        <v>577</v>
      </c>
      <c r="B11" s="15">
        <v>645964.28999999992</v>
      </c>
      <c r="C11" s="15">
        <v>166400.07999999999</v>
      </c>
      <c r="D11" s="15">
        <v>20</v>
      </c>
    </row>
    <row r="12" spans="1:4">
      <c r="A12" s="9" t="s">
        <v>614</v>
      </c>
      <c r="B12" s="15">
        <v>663150.2100000002</v>
      </c>
      <c r="C12" s="15">
        <v>138188.56</v>
      </c>
      <c r="D12" s="15">
        <v>15</v>
      </c>
    </row>
    <row r="13" spans="1:4">
      <c r="A13" s="9" t="s">
        <v>633</v>
      </c>
      <c r="B13" s="15">
        <v>407123.11999999994</v>
      </c>
      <c r="C13" s="15">
        <v>70741.279999999999</v>
      </c>
      <c r="D13" s="15">
        <v>17</v>
      </c>
    </row>
    <row r="14" spans="1:4">
      <c r="A14" s="9" t="s">
        <v>647</v>
      </c>
      <c r="B14" s="15">
        <v>600979.32999999996</v>
      </c>
      <c r="C14" s="15">
        <v>106855.34</v>
      </c>
      <c r="D14" s="15">
        <v>14</v>
      </c>
    </row>
    <row r="15" spans="1:4">
      <c r="A15" s="9" t="s">
        <v>657</v>
      </c>
      <c r="B15" s="15">
        <v>1181959.8100000005</v>
      </c>
      <c r="C15" s="15">
        <v>242767.09999999998</v>
      </c>
      <c r="D15" s="15">
        <v>27</v>
      </c>
    </row>
    <row r="16" spans="1:4">
      <c r="A16" s="9" t="s">
        <v>716</v>
      </c>
      <c r="B16" s="15">
        <v>5911021.2699999968</v>
      </c>
      <c r="C16" s="15">
        <v>1210050.4200000002</v>
      </c>
      <c r="D16" s="15">
        <v>215</v>
      </c>
    </row>
    <row r="23" spans="1:4">
      <c r="A23" s="12" t="s">
        <v>723</v>
      </c>
      <c r="B23" s="13"/>
      <c r="C23" s="13"/>
      <c r="D23" s="13"/>
    </row>
    <row r="24" spans="1:4">
      <c r="A24" s="13"/>
      <c r="B24" s="13"/>
      <c r="C24" s="13"/>
      <c r="D24" s="13"/>
    </row>
    <row r="25" spans="1:4">
      <c r="A25" s="13"/>
      <c r="B25" s="13"/>
      <c r="C25" s="13"/>
      <c r="D25" s="13"/>
    </row>
    <row r="26" spans="1:4">
      <c r="A26" s="13"/>
      <c r="B26" s="13"/>
      <c r="C26" s="13"/>
      <c r="D26" s="13"/>
    </row>
    <row r="27" spans="1:4">
      <c r="A27" s="13"/>
      <c r="B27" s="13"/>
      <c r="C27" s="13"/>
      <c r="D27" s="13"/>
    </row>
    <row r="28" spans="1:4">
      <c r="A28" s="13"/>
      <c r="B28" s="13"/>
      <c r="C28" s="13"/>
      <c r="D28" s="13"/>
    </row>
    <row r="29" spans="1:4">
      <c r="A29" s="13"/>
      <c r="B29" s="13"/>
      <c r="C29" s="13"/>
      <c r="D29" s="13"/>
    </row>
    <row r="30" spans="1:4">
      <c r="A30" s="13"/>
      <c r="B30" s="13"/>
      <c r="C30" s="13"/>
      <c r="D30" s="13"/>
    </row>
    <row r="31" spans="1:4">
      <c r="A31" s="13"/>
      <c r="B31" s="13"/>
      <c r="C31" s="13"/>
      <c r="D31" s="13"/>
    </row>
    <row r="32" spans="1:4">
      <c r="A32" s="13"/>
      <c r="B32" s="13"/>
      <c r="C32" s="13"/>
      <c r="D32" s="13"/>
    </row>
  </sheetData>
  <sortState xmlns:xlrd2="http://schemas.microsoft.com/office/spreadsheetml/2017/richdata2" ref="A3:D16">
    <sortCondition descending="1" ref="B3"/>
  </sortState>
  <mergeCells count="1">
    <mergeCell ref="A23:D32"/>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0DA27-DDA3-47B0-B155-34792A9AE880}">
  <dimension ref="A3:D22"/>
  <sheetViews>
    <sheetView workbookViewId="0">
      <selection activeCell="L23" sqref="L23"/>
    </sheetView>
  </sheetViews>
  <sheetFormatPr defaultRowHeight="14.4"/>
  <cols>
    <col min="1" max="1" width="12.5546875" bestFit="1" customWidth="1"/>
    <col min="2" max="2" width="12" bestFit="1" customWidth="1"/>
    <col min="3" max="3" width="12.109375" bestFit="1" customWidth="1"/>
    <col min="4" max="4" width="16.44140625" bestFit="1" customWidth="1"/>
  </cols>
  <sheetData>
    <row r="3" spans="1:4">
      <c r="A3" s="8" t="s">
        <v>715</v>
      </c>
      <c r="B3" t="s">
        <v>717</v>
      </c>
      <c r="C3" t="s">
        <v>718</v>
      </c>
    </row>
    <row r="4" spans="1:4">
      <c r="A4" s="9" t="s">
        <v>724</v>
      </c>
      <c r="B4" s="15">
        <v>6263604.4600000009</v>
      </c>
      <c r="C4" s="15">
        <v>1204144.4000000013</v>
      </c>
    </row>
    <row r="5" spans="1:4">
      <c r="A5" s="9" t="s">
        <v>725</v>
      </c>
      <c r="B5" s="15">
        <v>6183485.4199999981</v>
      </c>
      <c r="C5" s="15">
        <v>1144858.4100000004</v>
      </c>
    </row>
    <row r="6" spans="1:4">
      <c r="A6" s="9" t="s">
        <v>726</v>
      </c>
      <c r="B6" s="15">
        <v>6792473.1300000036</v>
      </c>
      <c r="C6" s="15">
        <v>1343338.92</v>
      </c>
    </row>
    <row r="7" spans="1:4">
      <c r="A7" s="9" t="s">
        <v>727</v>
      </c>
      <c r="B7" s="15">
        <v>7453684.1199999973</v>
      </c>
      <c r="C7" s="15">
        <v>1525745.4</v>
      </c>
    </row>
    <row r="8" spans="1:4">
      <c r="A8" s="9" t="s">
        <v>716</v>
      </c>
      <c r="B8" s="15">
        <v>26693247.129999999</v>
      </c>
      <c r="C8" s="15">
        <v>5218087.1300000008</v>
      </c>
    </row>
    <row r="11" spans="1:4" ht="14.4" customHeight="1">
      <c r="A11" s="14" t="s">
        <v>728</v>
      </c>
      <c r="B11" s="14"/>
      <c r="C11" s="14"/>
      <c r="D11" s="14"/>
    </row>
    <row r="12" spans="1:4">
      <c r="A12" s="14"/>
      <c r="B12" s="14"/>
      <c r="C12" s="14"/>
      <c r="D12" s="14"/>
    </row>
    <row r="13" spans="1:4">
      <c r="A13" s="14"/>
      <c r="B13" s="14"/>
      <c r="C13" s="14"/>
      <c r="D13" s="14"/>
    </row>
    <row r="14" spans="1:4">
      <c r="A14" s="14"/>
      <c r="B14" s="14"/>
      <c r="C14" s="14"/>
      <c r="D14" s="14"/>
    </row>
    <row r="15" spans="1:4">
      <c r="A15" s="14"/>
      <c r="B15" s="14"/>
      <c r="C15" s="14"/>
      <c r="D15" s="14"/>
    </row>
    <row r="16" spans="1:4">
      <c r="A16" s="14"/>
      <c r="B16" s="14"/>
      <c r="C16" s="14"/>
      <c r="D16" s="14"/>
    </row>
    <row r="17" spans="1:4">
      <c r="A17" s="14"/>
      <c r="B17" s="14"/>
      <c r="C17" s="14"/>
      <c r="D17" s="14"/>
    </row>
    <row r="18" spans="1:4">
      <c r="A18" s="14"/>
      <c r="B18" s="14"/>
      <c r="C18" s="14"/>
      <c r="D18" s="14"/>
    </row>
    <row r="19" spans="1:4">
      <c r="A19" s="14"/>
      <c r="B19" s="14"/>
      <c r="C19" s="14"/>
      <c r="D19" s="14"/>
    </row>
    <row r="20" spans="1:4">
      <c r="A20" s="14"/>
      <c r="B20" s="14"/>
      <c r="C20" s="14"/>
      <c r="D20" s="14"/>
    </row>
    <row r="21" spans="1:4">
      <c r="A21" s="14"/>
      <c r="B21" s="14"/>
      <c r="C21" s="14"/>
      <c r="D21" s="14"/>
    </row>
    <row r="22" spans="1:4">
      <c r="A22" s="14"/>
      <c r="B22" s="14"/>
      <c r="C22" s="14"/>
      <c r="D22" s="14"/>
    </row>
  </sheetData>
  <sortState xmlns:xlrd2="http://schemas.microsoft.com/office/spreadsheetml/2017/richdata2" columnSort="1" ref="A3:C8">
    <sortCondition descending="1" ref="B3"/>
  </sortState>
  <mergeCells count="1">
    <mergeCell ref="A11:D22"/>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0BC44-2B4F-4765-A17F-9ED81EFDC6A2}">
  <dimension ref="A3:S45"/>
  <sheetViews>
    <sheetView topLeftCell="A8" zoomScale="74" workbookViewId="0">
      <selection activeCell="A8" sqref="A8:B8"/>
    </sheetView>
  </sheetViews>
  <sheetFormatPr defaultRowHeight="14.4"/>
  <cols>
    <col min="1" max="1" width="13.88671875" bestFit="1" customWidth="1"/>
    <col min="2" max="2" width="12.109375" bestFit="1" customWidth="1"/>
    <col min="3" max="3" width="12.44140625" bestFit="1" customWidth="1"/>
    <col min="4" max="4" width="17.33203125" bestFit="1" customWidth="1"/>
    <col min="5" max="5" width="13.6640625" bestFit="1" customWidth="1"/>
  </cols>
  <sheetData>
    <row r="3" spans="1:19" ht="14.4" customHeight="1">
      <c r="A3" s="8" t="s">
        <v>715</v>
      </c>
      <c r="B3" t="s">
        <v>717</v>
      </c>
      <c r="C3" t="s">
        <v>718</v>
      </c>
      <c r="D3" t="s">
        <v>722</v>
      </c>
      <c r="E3" t="s">
        <v>729</v>
      </c>
      <c r="G3" s="12" t="s">
        <v>730</v>
      </c>
      <c r="H3" s="12"/>
      <c r="I3" s="12"/>
      <c r="J3" s="12"/>
      <c r="K3" s="12"/>
      <c r="L3" s="12"/>
      <c r="M3" s="12"/>
      <c r="N3" s="12"/>
      <c r="O3" s="12"/>
      <c r="P3" s="12"/>
      <c r="Q3" s="12"/>
      <c r="R3" s="12"/>
      <c r="S3" s="12"/>
    </row>
    <row r="4" spans="1:19">
      <c r="A4" s="9" t="s">
        <v>38</v>
      </c>
      <c r="B4" s="15">
        <v>3311980.8899999997</v>
      </c>
      <c r="C4" s="15">
        <v>689563.86000000034</v>
      </c>
      <c r="D4" s="15">
        <v>104</v>
      </c>
      <c r="E4" s="10">
        <f>C4/B4</f>
        <v>0.20820284986608131</v>
      </c>
      <c r="G4" s="12"/>
      <c r="H4" s="12"/>
      <c r="I4" s="12"/>
      <c r="J4" s="12"/>
      <c r="K4" s="12"/>
      <c r="L4" s="12"/>
      <c r="M4" s="12"/>
      <c r="N4" s="12"/>
      <c r="O4" s="12"/>
      <c r="P4" s="12"/>
      <c r="Q4" s="12"/>
      <c r="R4" s="12"/>
      <c r="S4" s="12"/>
    </row>
    <row r="5" spans="1:19">
      <c r="A5" s="9" t="s">
        <v>27</v>
      </c>
      <c r="B5" s="15">
        <v>2599040.3800000004</v>
      </c>
      <c r="C5" s="15">
        <v>520486.56</v>
      </c>
      <c r="D5" s="15">
        <v>111</v>
      </c>
      <c r="E5" s="10">
        <f t="shared" ref="E5:E6" si="0">C5/B5</f>
        <v>0.2002610517347945</v>
      </c>
      <c r="G5" s="12"/>
      <c r="H5" s="12"/>
      <c r="I5" s="12"/>
      <c r="J5" s="12"/>
      <c r="K5" s="12"/>
      <c r="L5" s="12"/>
      <c r="M5" s="12"/>
      <c r="N5" s="12"/>
      <c r="O5" s="12"/>
      <c r="P5" s="12"/>
      <c r="Q5" s="12"/>
      <c r="R5" s="12"/>
      <c r="S5" s="12"/>
    </row>
    <row r="6" spans="1:19">
      <c r="A6" s="9" t="s">
        <v>716</v>
      </c>
      <c r="B6" s="15">
        <v>5911021.2700000023</v>
      </c>
      <c r="C6" s="15">
        <v>1210050.42</v>
      </c>
      <c r="D6" s="15">
        <v>215</v>
      </c>
      <c r="E6" s="10">
        <f t="shared" si="0"/>
        <v>0.20471088915570751</v>
      </c>
      <c r="G6" s="12"/>
      <c r="H6" s="12"/>
      <c r="I6" s="12"/>
      <c r="J6" s="12"/>
      <c r="K6" s="12"/>
      <c r="L6" s="12"/>
      <c r="M6" s="12"/>
      <c r="N6" s="12"/>
      <c r="O6" s="12"/>
      <c r="P6" s="12"/>
      <c r="Q6" s="12"/>
      <c r="R6" s="12"/>
      <c r="S6" s="12"/>
    </row>
    <row r="7" spans="1:19">
      <c r="G7" s="12"/>
      <c r="H7" s="12"/>
      <c r="I7" s="12"/>
      <c r="J7" s="12"/>
      <c r="K7" s="12"/>
      <c r="L7" s="12"/>
      <c r="M7" s="12"/>
      <c r="N7" s="12"/>
      <c r="O7" s="12"/>
      <c r="P7" s="12"/>
      <c r="Q7" s="12"/>
      <c r="R7" s="12"/>
      <c r="S7" s="12"/>
    </row>
    <row r="8" spans="1:19">
      <c r="G8" s="12"/>
      <c r="H8" s="12"/>
      <c r="I8" s="12"/>
      <c r="J8" s="12"/>
      <c r="K8" s="12"/>
      <c r="L8" s="12"/>
      <c r="M8" s="12"/>
      <c r="N8" s="12"/>
      <c r="O8" s="12"/>
      <c r="P8" s="12"/>
      <c r="Q8" s="12"/>
      <c r="R8" s="12"/>
      <c r="S8" s="12"/>
    </row>
    <row r="9" spans="1:19">
      <c r="A9" s="9"/>
      <c r="B9" s="15"/>
      <c r="G9" s="12"/>
      <c r="H9" s="12"/>
      <c r="I9" s="12"/>
      <c r="J9" s="12"/>
      <c r="K9" s="12"/>
      <c r="L9" s="12"/>
      <c r="M9" s="12"/>
      <c r="N9" s="12"/>
      <c r="O9" s="12"/>
      <c r="P9" s="12"/>
      <c r="Q9" s="12"/>
      <c r="R9" s="12"/>
      <c r="S9" s="12"/>
    </row>
    <row r="10" spans="1:19">
      <c r="A10" s="9"/>
      <c r="B10" s="15"/>
      <c r="G10" s="12"/>
      <c r="H10" s="12"/>
      <c r="I10" s="12"/>
      <c r="J10" s="12"/>
      <c r="K10" s="12"/>
      <c r="L10" s="12"/>
      <c r="M10" s="12"/>
      <c r="N10" s="12"/>
      <c r="O10" s="12"/>
      <c r="P10" s="12"/>
      <c r="Q10" s="12"/>
      <c r="R10" s="12"/>
      <c r="S10" s="12"/>
    </row>
    <row r="11" spans="1:19">
      <c r="G11" s="12"/>
      <c r="H11" s="12"/>
      <c r="I11" s="12"/>
      <c r="J11" s="12"/>
      <c r="K11" s="12"/>
      <c r="L11" s="12"/>
      <c r="M11" s="12"/>
      <c r="N11" s="12"/>
      <c r="O11" s="12"/>
      <c r="P11" s="12"/>
      <c r="Q11" s="12"/>
      <c r="R11" s="12"/>
      <c r="S11" s="12"/>
    </row>
    <row r="28" spans="1:1">
      <c r="A28" s="9"/>
    </row>
    <row r="29" spans="1:1">
      <c r="A29" s="9"/>
    </row>
    <row r="35" spans="1:2">
      <c r="A35" s="11" t="s">
        <v>715</v>
      </c>
      <c r="B35" s="11" t="s">
        <v>717</v>
      </c>
    </row>
    <row r="36" spans="1:2">
      <c r="A36" s="9" t="s">
        <v>38</v>
      </c>
      <c r="B36">
        <v>13849942.11999999</v>
      </c>
    </row>
    <row r="37" spans="1:2">
      <c r="A37" s="9" t="s">
        <v>27</v>
      </c>
      <c r="B37">
        <v>12843305.009999994</v>
      </c>
    </row>
    <row r="43" spans="1:2">
      <c r="A43" s="11" t="s">
        <v>715</v>
      </c>
      <c r="B43" s="11" t="s">
        <v>718</v>
      </c>
    </row>
    <row r="44" spans="1:2">
      <c r="A44" s="9" t="s">
        <v>38</v>
      </c>
      <c r="B44">
        <v>2580797.84</v>
      </c>
    </row>
    <row r="45" spans="1:2">
      <c r="A45" s="9" t="s">
        <v>27</v>
      </c>
      <c r="B45">
        <v>2637289.2899999991</v>
      </c>
    </row>
  </sheetData>
  <mergeCells count="1">
    <mergeCell ref="G3:S11"/>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08E2F-4231-4CC8-8F74-C572DAE669FA}">
  <dimension ref="A3:V39"/>
  <sheetViews>
    <sheetView topLeftCell="A3" zoomScale="58" workbookViewId="0">
      <selection activeCell="I46" sqref="I46"/>
    </sheetView>
  </sheetViews>
  <sheetFormatPr defaultRowHeight="14.4"/>
  <cols>
    <col min="1" max="1" width="18.88671875" bestFit="1" customWidth="1"/>
    <col min="2" max="3" width="17.5546875" bestFit="1" customWidth="1"/>
    <col min="4" max="4" width="23.33203125" bestFit="1" customWidth="1"/>
    <col min="5" max="5" width="11.6640625" bestFit="1" customWidth="1"/>
    <col min="6" max="6" width="8" bestFit="1" customWidth="1"/>
    <col min="7" max="10" width="9" bestFit="1" customWidth="1"/>
    <col min="11" max="16" width="8" bestFit="1" customWidth="1"/>
    <col min="17" max="17" width="7" bestFit="1" customWidth="1"/>
    <col min="18" max="18" width="6" bestFit="1" customWidth="1"/>
    <col min="19" max="19" width="8" bestFit="1" customWidth="1"/>
    <col min="20" max="20" width="7" bestFit="1" customWidth="1"/>
    <col min="21" max="22" width="6" bestFit="1" customWidth="1"/>
    <col min="23" max="23" width="7" bestFit="1" customWidth="1"/>
    <col min="24" max="24" width="8" bestFit="1" customWidth="1"/>
    <col min="25" max="25" width="7" bestFit="1" customWidth="1"/>
    <col min="26" max="26" width="8" bestFit="1" customWidth="1"/>
    <col min="27" max="27" width="7" bestFit="1" customWidth="1"/>
    <col min="28" max="28" width="8" bestFit="1" customWidth="1"/>
    <col min="29" max="30" width="7" bestFit="1" customWidth="1"/>
    <col min="31" max="32" width="6" bestFit="1" customWidth="1"/>
    <col min="33" max="33" width="7" bestFit="1" customWidth="1"/>
    <col min="34" max="34" width="8" bestFit="1" customWidth="1"/>
    <col min="35" max="35" width="7" bestFit="1" customWidth="1"/>
    <col min="36" max="36" width="8" bestFit="1" customWidth="1"/>
    <col min="37" max="39" width="7" bestFit="1" customWidth="1"/>
    <col min="40" max="41" width="6" bestFit="1" customWidth="1"/>
    <col min="42" max="45" width="7" bestFit="1" customWidth="1"/>
    <col min="46" max="46" width="8" bestFit="1" customWidth="1"/>
    <col min="47" max="47" width="7" bestFit="1" customWidth="1"/>
    <col min="48" max="48" width="6" bestFit="1" customWidth="1"/>
    <col min="49" max="49" width="8" bestFit="1" customWidth="1"/>
    <col min="50" max="50" width="6" bestFit="1" customWidth="1"/>
    <col min="51" max="52" width="7" bestFit="1" customWidth="1"/>
    <col min="53" max="53" width="6" bestFit="1" customWidth="1"/>
    <col min="54" max="54" width="8" bestFit="1" customWidth="1"/>
    <col min="55" max="55" width="7" bestFit="1" customWidth="1"/>
    <col min="56" max="56" width="6" bestFit="1" customWidth="1"/>
    <col min="57" max="57" width="7" bestFit="1" customWidth="1"/>
    <col min="58" max="58" width="8" bestFit="1" customWidth="1"/>
    <col min="59" max="60" width="7" bestFit="1" customWidth="1"/>
    <col min="61" max="61" width="6" bestFit="1" customWidth="1"/>
    <col min="62" max="65" width="7" bestFit="1" customWidth="1"/>
    <col min="66" max="66" width="6" bestFit="1" customWidth="1"/>
    <col min="67" max="67" width="8" bestFit="1" customWidth="1"/>
    <col min="68" max="72" width="7" bestFit="1" customWidth="1"/>
    <col min="73" max="73" width="6" bestFit="1" customWidth="1"/>
    <col min="74" max="97" width="7" bestFit="1" customWidth="1"/>
    <col min="98" max="99" width="6" bestFit="1" customWidth="1"/>
    <col min="100" max="100" width="8" bestFit="1" customWidth="1"/>
    <col min="101" max="102" width="7" bestFit="1" customWidth="1"/>
    <col min="103" max="103" width="8" bestFit="1" customWidth="1"/>
    <col min="104" max="104" width="7" bestFit="1" customWidth="1"/>
    <col min="105" max="105" width="6" bestFit="1" customWidth="1"/>
    <col min="106" max="111" width="7" bestFit="1" customWidth="1"/>
    <col min="112" max="112" width="9" bestFit="1" customWidth="1"/>
    <col min="113" max="113" width="8" bestFit="1" customWidth="1"/>
    <col min="114" max="114" width="6" bestFit="1" customWidth="1"/>
    <col min="115" max="115" width="9" bestFit="1" customWidth="1"/>
    <col min="116" max="120" width="7" bestFit="1" customWidth="1"/>
    <col min="121" max="121" width="8" bestFit="1" customWidth="1"/>
    <col min="122" max="128" width="7" bestFit="1" customWidth="1"/>
    <col min="129" max="129" width="8" bestFit="1" customWidth="1"/>
    <col min="130" max="135" width="7" bestFit="1" customWidth="1"/>
    <col min="136" max="137" width="8" bestFit="1" customWidth="1"/>
    <col min="138" max="143" width="7" bestFit="1" customWidth="1"/>
    <col min="144" max="146" width="8" bestFit="1" customWidth="1"/>
    <col min="147" max="150" width="7" bestFit="1" customWidth="1"/>
    <col min="151" max="151" width="9" bestFit="1" customWidth="1"/>
    <col min="152" max="152" width="8" bestFit="1" customWidth="1"/>
    <col min="153" max="153" width="7" bestFit="1" customWidth="1"/>
    <col min="154" max="154" width="8" bestFit="1" customWidth="1"/>
    <col min="155" max="155" width="7" bestFit="1" customWidth="1"/>
    <col min="156" max="156" width="6" bestFit="1" customWidth="1"/>
    <col min="157" max="157" width="8" bestFit="1" customWidth="1"/>
    <col min="158" max="159" width="7" bestFit="1" customWidth="1"/>
    <col min="160" max="160" width="9" bestFit="1" customWidth="1"/>
    <col min="161" max="162" width="7" bestFit="1" customWidth="1"/>
    <col min="163" max="163" width="8" bestFit="1" customWidth="1"/>
    <col min="164" max="164" width="7" bestFit="1" customWidth="1"/>
    <col min="165" max="165" width="8" bestFit="1" customWidth="1"/>
    <col min="166" max="167" width="7" bestFit="1" customWidth="1"/>
    <col min="168" max="169" width="8" bestFit="1" customWidth="1"/>
    <col min="170" max="170" width="7" bestFit="1" customWidth="1"/>
    <col min="171" max="171" width="8" bestFit="1" customWidth="1"/>
    <col min="172" max="172" width="7" bestFit="1" customWidth="1"/>
    <col min="173" max="173" width="8" bestFit="1" customWidth="1"/>
    <col min="174" max="174" width="7" bestFit="1" customWidth="1"/>
    <col min="175" max="178" width="8" bestFit="1" customWidth="1"/>
    <col min="179" max="179" width="7" bestFit="1" customWidth="1"/>
    <col min="180" max="180" width="8" bestFit="1" customWidth="1"/>
    <col min="181" max="182" width="7" bestFit="1" customWidth="1"/>
    <col min="183" max="183" width="8" bestFit="1" customWidth="1"/>
    <col min="184" max="184" width="7" bestFit="1" customWidth="1"/>
    <col min="185" max="186" width="8" bestFit="1" customWidth="1"/>
    <col min="187" max="188" width="7" bestFit="1" customWidth="1"/>
    <col min="189" max="194" width="8" bestFit="1" customWidth="1"/>
    <col min="195" max="195" width="7" bestFit="1" customWidth="1"/>
    <col min="196" max="197" width="8" bestFit="1" customWidth="1"/>
    <col min="198" max="198" width="7" bestFit="1" customWidth="1"/>
    <col min="199" max="199" width="8" bestFit="1" customWidth="1"/>
    <col min="200" max="203" width="7" bestFit="1" customWidth="1"/>
    <col min="204" max="204" width="8" bestFit="1" customWidth="1"/>
    <col min="205" max="205" width="7" bestFit="1" customWidth="1"/>
    <col min="206" max="207" width="8" bestFit="1" customWidth="1"/>
    <col min="208" max="208" width="7" bestFit="1" customWidth="1"/>
    <col min="209" max="210" width="8" bestFit="1" customWidth="1"/>
    <col min="211" max="213" width="7" bestFit="1" customWidth="1"/>
    <col min="214" max="214" width="8" bestFit="1" customWidth="1"/>
    <col min="215" max="215" width="7" bestFit="1" customWidth="1"/>
    <col min="216" max="228" width="8" bestFit="1" customWidth="1"/>
    <col min="229" max="229" width="9" bestFit="1" customWidth="1"/>
    <col min="230" max="230" width="7" bestFit="1" customWidth="1"/>
    <col min="231" max="232" width="8" bestFit="1" customWidth="1"/>
    <col min="233" max="234" width="7" bestFit="1" customWidth="1"/>
    <col min="235" max="238" width="8" bestFit="1" customWidth="1"/>
    <col min="239" max="239" width="7" bestFit="1" customWidth="1"/>
    <col min="240" max="240" width="9" bestFit="1" customWidth="1"/>
    <col min="241" max="249" width="8" bestFit="1" customWidth="1"/>
    <col min="250" max="250" width="9" bestFit="1" customWidth="1"/>
    <col min="251" max="251" width="8" bestFit="1" customWidth="1"/>
    <col min="252" max="252" width="7" bestFit="1" customWidth="1"/>
    <col min="253" max="265" width="8" bestFit="1" customWidth="1"/>
    <col min="266" max="266" width="9" bestFit="1" customWidth="1"/>
    <col min="267" max="276" width="8" bestFit="1" customWidth="1"/>
    <col min="277" max="277" width="9" bestFit="1" customWidth="1"/>
    <col min="278" max="278" width="7" bestFit="1" customWidth="1"/>
    <col min="279" max="279" width="8" bestFit="1" customWidth="1"/>
    <col min="280" max="280" width="7" bestFit="1" customWidth="1"/>
    <col min="281" max="287" width="8" bestFit="1" customWidth="1"/>
    <col min="288" max="288" width="9" bestFit="1" customWidth="1"/>
    <col min="289" max="292" width="8" bestFit="1" customWidth="1"/>
    <col min="293" max="293" width="7" bestFit="1" customWidth="1"/>
    <col min="294" max="294" width="8" bestFit="1" customWidth="1"/>
    <col min="295" max="295" width="7" bestFit="1" customWidth="1"/>
    <col min="296" max="298" width="8" bestFit="1" customWidth="1"/>
    <col min="299" max="299" width="7" bestFit="1" customWidth="1"/>
    <col min="300" max="307" width="8" bestFit="1" customWidth="1"/>
    <col min="308" max="308" width="9" bestFit="1" customWidth="1"/>
    <col min="309" max="312" width="8" bestFit="1" customWidth="1"/>
    <col min="313" max="313" width="7" bestFit="1" customWidth="1"/>
    <col min="314" max="315" width="8" bestFit="1" customWidth="1"/>
    <col min="316" max="316" width="7" bestFit="1" customWidth="1"/>
    <col min="317" max="321" width="8" bestFit="1" customWidth="1"/>
    <col min="322" max="322" width="7" bestFit="1" customWidth="1"/>
    <col min="323" max="328" width="8" bestFit="1" customWidth="1"/>
    <col min="329" max="329" width="7" bestFit="1" customWidth="1"/>
    <col min="330" max="345" width="8" bestFit="1" customWidth="1"/>
    <col min="346" max="346" width="7" bestFit="1" customWidth="1"/>
    <col min="347" max="347" width="9" bestFit="1" customWidth="1"/>
    <col min="348" max="371" width="8" bestFit="1" customWidth="1"/>
    <col min="372" max="372" width="9" bestFit="1" customWidth="1"/>
    <col min="373" max="373" width="7" bestFit="1" customWidth="1"/>
    <col min="374" max="374" width="9" bestFit="1" customWidth="1"/>
    <col min="375" max="386" width="8" bestFit="1" customWidth="1"/>
    <col min="387" max="387" width="7" bestFit="1" customWidth="1"/>
    <col min="388" max="390" width="8" bestFit="1" customWidth="1"/>
    <col min="391" max="391" width="7" bestFit="1" customWidth="1"/>
    <col min="392" max="394" width="8" bestFit="1" customWidth="1"/>
    <col min="395" max="395" width="9" bestFit="1" customWidth="1"/>
    <col min="396" max="397" width="8" bestFit="1" customWidth="1"/>
    <col min="398" max="398" width="9" bestFit="1" customWidth="1"/>
    <col min="399" max="401" width="8" bestFit="1" customWidth="1"/>
    <col min="402" max="402" width="7" bestFit="1" customWidth="1"/>
    <col min="403" max="403" width="8" bestFit="1" customWidth="1"/>
    <col min="404" max="404" width="9" bestFit="1" customWidth="1"/>
    <col min="405" max="405" width="7" bestFit="1" customWidth="1"/>
    <col min="406" max="413" width="8" bestFit="1" customWidth="1"/>
    <col min="414" max="414" width="9" bestFit="1" customWidth="1"/>
    <col min="415" max="422" width="8" bestFit="1" customWidth="1"/>
    <col min="423" max="424" width="9" bestFit="1" customWidth="1"/>
    <col min="425" max="425" width="8" bestFit="1" customWidth="1"/>
    <col min="426" max="428" width="9" bestFit="1" customWidth="1"/>
    <col min="429" max="430" width="8" bestFit="1" customWidth="1"/>
    <col min="431" max="432" width="9" bestFit="1" customWidth="1"/>
    <col min="433" max="433" width="8" bestFit="1" customWidth="1"/>
    <col min="434" max="434" width="9" bestFit="1" customWidth="1"/>
    <col min="435" max="441" width="8" bestFit="1" customWidth="1"/>
    <col min="442" max="442" width="9" bestFit="1" customWidth="1"/>
    <col min="443" max="445" width="8" bestFit="1" customWidth="1"/>
    <col min="446" max="446" width="7" bestFit="1" customWidth="1"/>
    <col min="447" max="450" width="8" bestFit="1" customWidth="1"/>
    <col min="451" max="451" width="7" bestFit="1" customWidth="1"/>
    <col min="452" max="453" width="9" bestFit="1" customWidth="1"/>
    <col min="454" max="456" width="8" bestFit="1" customWidth="1"/>
    <col min="457" max="457" width="9" bestFit="1" customWidth="1"/>
    <col min="458" max="459" width="8" bestFit="1" customWidth="1"/>
    <col min="460" max="460" width="9" bestFit="1" customWidth="1"/>
    <col min="461" max="462" width="8" bestFit="1" customWidth="1"/>
    <col min="463" max="463" width="9" bestFit="1" customWidth="1"/>
    <col min="464" max="468" width="8" bestFit="1" customWidth="1"/>
    <col min="469" max="469" width="9" bestFit="1" customWidth="1"/>
    <col min="470" max="477" width="8" bestFit="1" customWidth="1"/>
    <col min="478" max="478" width="9" bestFit="1" customWidth="1"/>
    <col min="479" max="481" width="8" bestFit="1" customWidth="1"/>
    <col min="482" max="482" width="9" bestFit="1" customWidth="1"/>
    <col min="483" max="483" width="8" bestFit="1" customWidth="1"/>
    <col min="484" max="485" width="9" bestFit="1" customWidth="1"/>
    <col min="486" max="489" width="8" bestFit="1" customWidth="1"/>
    <col min="490" max="490" width="9" bestFit="1" customWidth="1"/>
    <col min="491" max="491" width="8" bestFit="1" customWidth="1"/>
    <col min="492" max="492" width="7" bestFit="1" customWidth="1"/>
    <col min="493" max="494" width="9" bestFit="1" customWidth="1"/>
    <col min="495" max="496" width="8" bestFit="1" customWidth="1"/>
    <col min="497" max="498" width="9" bestFit="1" customWidth="1"/>
    <col min="499" max="500" width="8" bestFit="1" customWidth="1"/>
    <col min="501" max="501" width="9" bestFit="1" customWidth="1"/>
    <col min="502" max="502" width="8" bestFit="1" customWidth="1"/>
    <col min="503" max="503" width="9" bestFit="1" customWidth="1"/>
    <col min="504" max="511" width="8" bestFit="1" customWidth="1"/>
    <col min="512" max="514" width="9" bestFit="1" customWidth="1"/>
    <col min="515" max="515" width="8" bestFit="1" customWidth="1"/>
    <col min="516" max="516" width="9" bestFit="1" customWidth="1"/>
    <col min="517" max="519" width="8" bestFit="1" customWidth="1"/>
    <col min="520" max="521" width="9" bestFit="1" customWidth="1"/>
    <col min="522" max="522" width="8" bestFit="1" customWidth="1"/>
    <col min="523" max="526" width="9" bestFit="1" customWidth="1"/>
    <col min="527" max="529" width="8" bestFit="1" customWidth="1"/>
    <col min="530" max="530" width="9" bestFit="1" customWidth="1"/>
    <col min="531" max="531" width="8" bestFit="1" customWidth="1"/>
    <col min="532" max="532" width="9" bestFit="1" customWidth="1"/>
    <col min="533" max="536" width="8" bestFit="1" customWidth="1"/>
    <col min="537" max="537" width="9" bestFit="1" customWidth="1"/>
    <col min="538" max="538" width="8" bestFit="1" customWidth="1"/>
    <col min="539" max="539" width="9" bestFit="1" customWidth="1"/>
    <col min="540" max="545" width="8" bestFit="1" customWidth="1"/>
    <col min="546" max="546" width="9" bestFit="1" customWidth="1"/>
    <col min="547" max="555" width="8" bestFit="1" customWidth="1"/>
    <col min="556" max="556" width="9" bestFit="1" customWidth="1"/>
    <col min="557" max="557" width="8" bestFit="1" customWidth="1"/>
    <col min="558" max="558" width="9" bestFit="1" customWidth="1"/>
    <col min="559" max="560" width="8" bestFit="1" customWidth="1"/>
    <col min="561" max="562" width="9" bestFit="1" customWidth="1"/>
    <col min="563" max="566" width="8" bestFit="1" customWidth="1"/>
    <col min="567" max="567" width="9" bestFit="1" customWidth="1"/>
    <col min="568" max="568" width="8" bestFit="1" customWidth="1"/>
    <col min="569" max="570" width="9" bestFit="1" customWidth="1"/>
    <col min="571" max="574" width="8" bestFit="1" customWidth="1"/>
    <col min="575" max="576" width="9" bestFit="1" customWidth="1"/>
    <col min="577" max="578" width="8" bestFit="1" customWidth="1"/>
    <col min="579" max="580" width="9" bestFit="1" customWidth="1"/>
    <col min="581" max="581" width="8" bestFit="1" customWidth="1"/>
    <col min="582" max="583" width="9" bestFit="1" customWidth="1"/>
    <col min="584" max="584" width="8" bestFit="1" customWidth="1"/>
    <col min="585" max="588" width="9" bestFit="1" customWidth="1"/>
    <col min="589" max="592" width="8" bestFit="1" customWidth="1"/>
    <col min="593" max="595" width="9" bestFit="1" customWidth="1"/>
    <col min="596" max="598" width="8" bestFit="1" customWidth="1"/>
    <col min="599" max="600" width="9" bestFit="1" customWidth="1"/>
    <col min="601" max="601" width="8" bestFit="1" customWidth="1"/>
    <col min="602" max="605" width="9" bestFit="1" customWidth="1"/>
    <col min="606" max="606" width="8" bestFit="1" customWidth="1"/>
    <col min="607" max="610" width="9" bestFit="1" customWidth="1"/>
    <col min="611" max="612" width="8" bestFit="1" customWidth="1"/>
    <col min="613" max="613" width="9" bestFit="1" customWidth="1"/>
    <col min="614" max="615" width="8" bestFit="1" customWidth="1"/>
    <col min="616" max="620" width="9" bestFit="1" customWidth="1"/>
    <col min="621" max="622" width="8" bestFit="1" customWidth="1"/>
    <col min="623" max="626" width="9" bestFit="1" customWidth="1"/>
    <col min="627" max="627" width="8" bestFit="1" customWidth="1"/>
    <col min="628" max="629" width="9" bestFit="1" customWidth="1"/>
    <col min="630" max="633" width="8" bestFit="1" customWidth="1"/>
    <col min="634" max="635" width="9" bestFit="1" customWidth="1"/>
    <col min="636" max="636" width="8" bestFit="1" customWidth="1"/>
    <col min="637" max="637" width="9" bestFit="1" customWidth="1"/>
    <col min="638" max="640" width="8" bestFit="1" customWidth="1"/>
    <col min="641" max="641" width="9" bestFit="1" customWidth="1"/>
    <col min="642" max="642" width="8" bestFit="1" customWidth="1"/>
    <col min="643" max="646" width="9" bestFit="1" customWidth="1"/>
    <col min="647" max="647" width="8" bestFit="1" customWidth="1"/>
    <col min="648" max="650" width="9" bestFit="1" customWidth="1"/>
    <col min="651" max="651" width="8" bestFit="1" customWidth="1"/>
    <col min="652" max="655" width="9" bestFit="1" customWidth="1"/>
    <col min="656" max="656" width="8" bestFit="1" customWidth="1"/>
    <col min="657" max="657" width="9" bestFit="1" customWidth="1"/>
    <col min="658" max="658" width="10" bestFit="1" customWidth="1"/>
    <col min="659" max="664" width="9" bestFit="1" customWidth="1"/>
    <col min="665" max="665" width="8" bestFit="1" customWidth="1"/>
    <col min="666" max="668" width="9" bestFit="1" customWidth="1"/>
    <col min="669" max="669" width="8" bestFit="1" customWidth="1"/>
    <col min="670" max="680" width="9" bestFit="1" customWidth="1"/>
    <col min="681" max="681" width="8" bestFit="1" customWidth="1"/>
    <col min="682" max="682" width="9" bestFit="1" customWidth="1"/>
    <col min="683" max="683" width="8" bestFit="1" customWidth="1"/>
    <col min="684" max="689" width="9" bestFit="1" customWidth="1"/>
    <col min="690" max="690" width="10" bestFit="1" customWidth="1"/>
    <col min="691" max="691" width="9" bestFit="1" customWidth="1"/>
    <col min="692" max="693" width="8" bestFit="1" customWidth="1"/>
    <col min="694" max="708" width="9" bestFit="1" customWidth="1"/>
    <col min="709" max="709" width="8" bestFit="1" customWidth="1"/>
    <col min="710" max="720" width="9" bestFit="1" customWidth="1"/>
    <col min="721" max="721" width="10" bestFit="1" customWidth="1"/>
    <col min="722" max="746" width="9" bestFit="1" customWidth="1"/>
    <col min="747" max="747" width="8" bestFit="1" customWidth="1"/>
    <col min="748" max="750" width="9" bestFit="1" customWidth="1"/>
    <col min="751" max="751" width="8" bestFit="1" customWidth="1"/>
    <col min="752" max="760" width="9" bestFit="1" customWidth="1"/>
    <col min="761" max="761" width="7" bestFit="1" customWidth="1"/>
    <col min="762" max="766" width="9" bestFit="1" customWidth="1"/>
    <col min="767" max="767" width="8" bestFit="1" customWidth="1"/>
    <col min="768" max="772" width="9" bestFit="1" customWidth="1"/>
    <col min="773" max="773" width="8" bestFit="1" customWidth="1"/>
    <col min="774" max="774" width="10" bestFit="1" customWidth="1"/>
    <col min="775" max="776" width="9" bestFit="1" customWidth="1"/>
    <col min="777" max="777" width="8" bestFit="1" customWidth="1"/>
    <col min="778" max="786" width="9" bestFit="1" customWidth="1"/>
    <col min="787" max="788" width="8" bestFit="1" customWidth="1"/>
    <col min="789" max="790" width="9" bestFit="1" customWidth="1"/>
    <col min="791" max="791" width="8" bestFit="1" customWidth="1"/>
    <col min="792" max="793" width="9" bestFit="1" customWidth="1"/>
    <col min="794" max="794" width="8" bestFit="1" customWidth="1"/>
    <col min="795" max="795" width="9" bestFit="1" customWidth="1"/>
    <col min="796" max="797" width="8" bestFit="1" customWidth="1"/>
    <col min="798" max="807" width="9" bestFit="1" customWidth="1"/>
    <col min="808" max="808" width="8" bestFit="1" customWidth="1"/>
    <col min="809" max="812" width="9" bestFit="1" customWidth="1"/>
    <col min="813" max="813" width="8" bestFit="1" customWidth="1"/>
    <col min="814" max="814" width="9" bestFit="1" customWidth="1"/>
    <col min="815" max="815" width="10" bestFit="1" customWidth="1"/>
    <col min="816" max="818" width="9" bestFit="1" customWidth="1"/>
    <col min="819" max="819" width="8" bestFit="1" customWidth="1"/>
    <col min="820" max="820" width="9" bestFit="1" customWidth="1"/>
    <col min="821" max="821" width="10" bestFit="1" customWidth="1"/>
    <col min="822" max="823" width="9" bestFit="1" customWidth="1"/>
    <col min="824" max="824" width="8" bestFit="1" customWidth="1"/>
    <col min="825" max="831" width="9" bestFit="1" customWidth="1"/>
    <col min="832" max="832" width="8" bestFit="1" customWidth="1"/>
    <col min="833" max="834" width="9" bestFit="1" customWidth="1"/>
    <col min="835" max="835" width="10" bestFit="1" customWidth="1"/>
    <col min="836" max="840" width="9" bestFit="1" customWidth="1"/>
    <col min="841" max="841" width="10" bestFit="1" customWidth="1"/>
    <col min="842" max="871" width="9" bestFit="1" customWidth="1"/>
    <col min="872" max="872" width="10" bestFit="1" customWidth="1"/>
    <col min="873" max="878" width="9" bestFit="1" customWidth="1"/>
    <col min="879" max="879" width="10" bestFit="1" customWidth="1"/>
    <col min="880" max="881" width="9" bestFit="1" customWidth="1"/>
    <col min="882" max="882" width="10" bestFit="1" customWidth="1"/>
    <col min="883" max="890" width="9" bestFit="1" customWidth="1"/>
    <col min="891" max="892" width="10" bestFit="1" customWidth="1"/>
    <col min="893" max="896" width="9" bestFit="1" customWidth="1"/>
    <col min="897" max="897" width="10" bestFit="1" customWidth="1"/>
    <col min="898" max="898" width="8" bestFit="1" customWidth="1"/>
    <col min="899" max="899" width="9" bestFit="1" customWidth="1"/>
    <col min="900" max="900" width="10" bestFit="1" customWidth="1"/>
    <col min="901" max="914" width="9" bestFit="1" customWidth="1"/>
    <col min="915" max="915" width="10" bestFit="1" customWidth="1"/>
    <col min="916" max="916" width="9" bestFit="1" customWidth="1"/>
    <col min="917" max="917" width="10" bestFit="1" customWidth="1"/>
    <col min="918" max="925" width="9" bestFit="1" customWidth="1"/>
    <col min="926" max="926" width="10" bestFit="1" customWidth="1"/>
    <col min="927" max="928" width="9" bestFit="1" customWidth="1"/>
    <col min="929" max="929" width="10" bestFit="1" customWidth="1"/>
    <col min="930" max="930" width="9" bestFit="1" customWidth="1"/>
    <col min="931" max="931" width="10" bestFit="1" customWidth="1"/>
    <col min="932" max="933" width="9" bestFit="1" customWidth="1"/>
    <col min="934" max="934" width="10" bestFit="1" customWidth="1"/>
    <col min="935" max="935" width="9" bestFit="1" customWidth="1"/>
    <col min="936" max="936" width="10" bestFit="1" customWidth="1"/>
    <col min="937" max="937" width="9" bestFit="1" customWidth="1"/>
    <col min="938" max="938" width="10" bestFit="1" customWidth="1"/>
    <col min="939" max="939" width="9" bestFit="1" customWidth="1"/>
    <col min="940" max="940" width="10" bestFit="1" customWidth="1"/>
    <col min="941" max="941" width="9" bestFit="1" customWidth="1"/>
    <col min="942" max="942" width="10" bestFit="1" customWidth="1"/>
    <col min="943" max="944" width="9" bestFit="1" customWidth="1"/>
    <col min="945" max="946" width="10" bestFit="1" customWidth="1"/>
    <col min="947" max="949" width="9" bestFit="1" customWidth="1"/>
    <col min="950" max="951" width="10" bestFit="1" customWidth="1"/>
    <col min="952" max="953" width="9" bestFit="1" customWidth="1"/>
    <col min="954" max="957" width="10" bestFit="1" customWidth="1"/>
    <col min="958" max="959" width="9" bestFit="1" customWidth="1"/>
    <col min="960" max="960" width="10" bestFit="1" customWidth="1"/>
    <col min="961" max="961" width="9" bestFit="1" customWidth="1"/>
    <col min="962" max="962" width="10" bestFit="1" customWidth="1"/>
    <col min="963" max="964" width="9" bestFit="1" customWidth="1"/>
    <col min="965" max="965" width="10" bestFit="1" customWidth="1"/>
    <col min="966" max="967" width="9" bestFit="1" customWidth="1"/>
    <col min="968" max="968" width="10" bestFit="1" customWidth="1"/>
    <col min="969" max="969" width="9" bestFit="1" customWidth="1"/>
    <col min="970" max="974" width="10" bestFit="1" customWidth="1"/>
    <col min="975" max="975" width="9" bestFit="1" customWidth="1"/>
    <col min="976" max="979" width="10" bestFit="1" customWidth="1"/>
    <col min="980" max="980" width="9" bestFit="1" customWidth="1"/>
    <col min="981" max="982" width="10" bestFit="1" customWidth="1"/>
    <col min="983" max="983" width="9" bestFit="1" customWidth="1"/>
    <col min="984" max="984" width="10" bestFit="1" customWidth="1"/>
    <col min="985" max="985" width="9" bestFit="1" customWidth="1"/>
    <col min="986" max="989" width="10" bestFit="1" customWidth="1"/>
    <col min="990" max="990" width="9" bestFit="1" customWidth="1"/>
    <col min="991" max="992" width="10" bestFit="1" customWidth="1"/>
    <col min="993" max="993" width="9" bestFit="1" customWidth="1"/>
    <col min="994" max="995" width="10" bestFit="1" customWidth="1"/>
    <col min="996" max="996" width="9" bestFit="1" customWidth="1"/>
    <col min="997" max="999" width="10" bestFit="1" customWidth="1"/>
    <col min="1000" max="1000" width="9" bestFit="1" customWidth="1"/>
    <col min="1001" max="1001" width="12" bestFit="1" customWidth="1"/>
  </cols>
  <sheetData>
    <row r="3" spans="1:5">
      <c r="A3" s="8" t="s">
        <v>715</v>
      </c>
      <c r="B3" t="s">
        <v>717</v>
      </c>
      <c r="C3" t="s">
        <v>718</v>
      </c>
      <c r="D3" t="s">
        <v>722</v>
      </c>
      <c r="E3" t="s">
        <v>710</v>
      </c>
    </row>
    <row r="4" spans="1:5">
      <c r="A4" s="9" t="s">
        <v>29</v>
      </c>
      <c r="B4" s="15">
        <v>1665210.3099999998</v>
      </c>
      <c r="C4" s="15">
        <v>316249.21000000002</v>
      </c>
      <c r="D4" s="15">
        <v>65</v>
      </c>
      <c r="E4" s="16">
        <f>C4/B4</f>
        <v>0.18991547680244669</v>
      </c>
    </row>
    <row r="5" spans="1:5">
      <c r="A5" s="9" t="s">
        <v>40</v>
      </c>
      <c r="B5" s="15">
        <v>2482332.330000001</v>
      </c>
      <c r="C5" s="15">
        <v>492810.41000000021</v>
      </c>
      <c r="D5" s="15">
        <v>76</v>
      </c>
      <c r="E5" s="16">
        <f t="shared" ref="E5:E6" si="0">C5/B5</f>
        <v>0.19852716900319306</v>
      </c>
    </row>
    <row r="6" spans="1:5">
      <c r="A6" s="9" t="s">
        <v>46</v>
      </c>
      <c r="B6" s="15">
        <v>1763478.63</v>
      </c>
      <c r="C6" s="15">
        <v>400990.79999999993</v>
      </c>
      <c r="D6" s="15">
        <v>74</v>
      </c>
      <c r="E6" s="16">
        <f t="shared" si="0"/>
        <v>0.22738625417876482</v>
      </c>
    </row>
    <row r="7" spans="1:5">
      <c r="A7" s="9" t="s">
        <v>716</v>
      </c>
      <c r="B7" s="15">
        <v>5911021.2700000051</v>
      </c>
      <c r="C7" s="15">
        <v>1210050.4200000002</v>
      </c>
      <c r="D7" s="15">
        <v>215</v>
      </c>
      <c r="E7" s="16">
        <f>C7/B7</f>
        <v>0.20471088915570745</v>
      </c>
    </row>
    <row r="12" spans="1:5">
      <c r="A12" s="9" t="s">
        <v>29</v>
      </c>
      <c r="B12" s="15">
        <v>7978674.4000000013</v>
      </c>
      <c r="C12" s="15"/>
    </row>
    <row r="13" spans="1:5">
      <c r="A13" s="9" t="s">
        <v>40</v>
      </c>
      <c r="B13" s="15">
        <v>9451379.5199999977</v>
      </c>
      <c r="C13" s="15"/>
    </row>
    <row r="14" spans="1:5">
      <c r="A14" s="9" t="s">
        <v>46</v>
      </c>
      <c r="B14" s="15">
        <v>9263193.2100000009</v>
      </c>
      <c r="C14" s="15"/>
    </row>
    <row r="18" spans="1:22">
      <c r="A18" s="9" t="s">
        <v>29</v>
      </c>
      <c r="B18" s="15">
        <v>1546479.52</v>
      </c>
    </row>
    <row r="19" spans="1:22">
      <c r="A19" s="9" t="s">
        <v>40</v>
      </c>
      <c r="B19" s="15">
        <v>1828620.7799999991</v>
      </c>
    </row>
    <row r="20" spans="1:22">
      <c r="A20" s="9" t="s">
        <v>46</v>
      </c>
      <c r="B20" s="15">
        <v>1842986.8300000003</v>
      </c>
    </row>
    <row r="32" spans="1:22">
      <c r="E32" s="12" t="s">
        <v>731</v>
      </c>
      <c r="F32" s="13"/>
      <c r="G32" s="13"/>
      <c r="H32" s="13"/>
      <c r="I32" s="13"/>
      <c r="J32" s="13"/>
      <c r="K32" s="13"/>
      <c r="L32" s="13"/>
      <c r="M32" s="13"/>
      <c r="N32" s="13"/>
      <c r="O32" s="13"/>
      <c r="P32" s="13"/>
      <c r="Q32" s="13"/>
      <c r="R32" s="13"/>
      <c r="S32" s="13"/>
      <c r="T32" s="13"/>
      <c r="U32" s="13"/>
      <c r="V32" s="13"/>
    </row>
    <row r="33" spans="5:22">
      <c r="E33" s="13"/>
      <c r="F33" s="13"/>
      <c r="G33" s="13"/>
      <c r="H33" s="13"/>
      <c r="I33" s="13"/>
      <c r="J33" s="13"/>
      <c r="K33" s="13"/>
      <c r="L33" s="13"/>
      <c r="M33" s="13"/>
      <c r="N33" s="13"/>
      <c r="O33" s="13"/>
      <c r="P33" s="13"/>
      <c r="Q33" s="13"/>
      <c r="R33" s="13"/>
      <c r="S33" s="13"/>
      <c r="T33" s="13"/>
      <c r="U33" s="13"/>
      <c r="V33" s="13"/>
    </row>
    <row r="34" spans="5:22">
      <c r="E34" s="13"/>
      <c r="F34" s="13"/>
      <c r="G34" s="13"/>
      <c r="H34" s="13"/>
      <c r="I34" s="13"/>
      <c r="J34" s="13"/>
      <c r="K34" s="13"/>
      <c r="L34" s="13"/>
      <c r="M34" s="13"/>
      <c r="N34" s="13"/>
      <c r="O34" s="13"/>
      <c r="P34" s="13"/>
      <c r="Q34" s="13"/>
      <c r="R34" s="13"/>
      <c r="S34" s="13"/>
      <c r="T34" s="13"/>
      <c r="U34" s="13"/>
      <c r="V34" s="13"/>
    </row>
    <row r="35" spans="5:22">
      <c r="E35" s="13"/>
      <c r="F35" s="13"/>
      <c r="G35" s="13"/>
      <c r="H35" s="13"/>
      <c r="I35" s="13"/>
      <c r="J35" s="13"/>
      <c r="K35" s="13"/>
      <c r="L35" s="13"/>
      <c r="M35" s="13"/>
      <c r="N35" s="13"/>
      <c r="O35" s="13"/>
      <c r="P35" s="13"/>
      <c r="Q35" s="13"/>
      <c r="R35" s="13"/>
      <c r="S35" s="13"/>
      <c r="T35" s="13"/>
      <c r="U35" s="13"/>
      <c r="V35" s="13"/>
    </row>
    <row r="36" spans="5:22">
      <c r="E36" s="13"/>
      <c r="F36" s="13"/>
      <c r="G36" s="13"/>
      <c r="H36" s="13"/>
      <c r="I36" s="13"/>
      <c r="J36" s="13"/>
      <c r="K36" s="13"/>
      <c r="L36" s="13"/>
      <c r="M36" s="13"/>
      <c r="N36" s="13"/>
      <c r="O36" s="13"/>
      <c r="P36" s="13"/>
      <c r="Q36" s="13"/>
      <c r="R36" s="13"/>
      <c r="S36" s="13"/>
      <c r="T36" s="13"/>
      <c r="U36" s="13"/>
      <c r="V36" s="13"/>
    </row>
    <row r="37" spans="5:22">
      <c r="E37" s="13"/>
      <c r="F37" s="13"/>
      <c r="G37" s="13"/>
      <c r="H37" s="13"/>
      <c r="I37" s="13"/>
      <c r="J37" s="13"/>
      <c r="K37" s="13"/>
      <c r="L37" s="13"/>
      <c r="M37" s="13"/>
      <c r="N37" s="13"/>
      <c r="O37" s="13"/>
      <c r="P37" s="13"/>
      <c r="Q37" s="13"/>
      <c r="R37" s="13"/>
      <c r="S37" s="13"/>
      <c r="T37" s="13"/>
      <c r="U37" s="13"/>
      <c r="V37" s="13"/>
    </row>
    <row r="38" spans="5:22">
      <c r="E38" s="13"/>
      <c r="F38" s="13"/>
      <c r="G38" s="13"/>
      <c r="H38" s="13"/>
      <c r="I38" s="13"/>
      <c r="J38" s="13"/>
      <c r="K38" s="13"/>
      <c r="L38" s="13"/>
      <c r="M38" s="13"/>
      <c r="N38" s="13"/>
      <c r="O38" s="13"/>
      <c r="P38" s="13"/>
      <c r="Q38" s="13"/>
      <c r="R38" s="13"/>
      <c r="S38" s="13"/>
      <c r="T38" s="13"/>
      <c r="U38" s="13"/>
      <c r="V38" s="13"/>
    </row>
    <row r="39" spans="5:22">
      <c r="E39" s="13"/>
      <c r="F39" s="13"/>
      <c r="G39" s="13"/>
      <c r="H39" s="13"/>
      <c r="I39" s="13"/>
      <c r="J39" s="13"/>
      <c r="K39" s="13"/>
      <c r="L39" s="13"/>
      <c r="M39" s="13"/>
      <c r="N39" s="13"/>
      <c r="O39" s="13"/>
      <c r="P39" s="13"/>
      <c r="Q39" s="13"/>
      <c r="R39" s="13"/>
      <c r="S39" s="13"/>
      <c r="T39" s="13"/>
      <c r="U39" s="13"/>
      <c r="V39" s="13"/>
    </row>
  </sheetData>
  <mergeCells count="1">
    <mergeCell ref="E32:V39"/>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91B4C-8F9E-4690-9981-39E05E2DA21F}">
  <dimension ref="A3:L40"/>
  <sheetViews>
    <sheetView topLeftCell="A15" workbookViewId="0">
      <selection activeCell="J43" sqref="J43"/>
    </sheetView>
  </sheetViews>
  <sheetFormatPr defaultRowHeight="14.4"/>
  <cols>
    <col min="1" max="1" width="12.5546875" bestFit="1" customWidth="1"/>
    <col min="2" max="2" width="11.6640625" bestFit="1" customWidth="1"/>
    <col min="3" max="3" width="12.109375" bestFit="1" customWidth="1"/>
    <col min="4" max="4" width="16.44140625" bestFit="1" customWidth="1"/>
    <col min="5" max="5" width="19.33203125" bestFit="1" customWidth="1"/>
    <col min="6" max="6" width="11" bestFit="1" customWidth="1"/>
    <col min="7" max="7" width="12" bestFit="1" customWidth="1"/>
    <col min="8" max="8" width="11" bestFit="1" customWidth="1"/>
    <col min="9" max="9" width="10" bestFit="1" customWidth="1"/>
    <col min="10" max="11" width="11" bestFit="1" customWidth="1"/>
    <col min="12" max="12" width="16.44140625" bestFit="1" customWidth="1"/>
    <col min="13" max="13" width="16.88671875" bestFit="1" customWidth="1"/>
  </cols>
  <sheetData>
    <row r="3" spans="1:5">
      <c r="A3" s="8" t="s">
        <v>715</v>
      </c>
      <c r="B3" t="s">
        <v>717</v>
      </c>
      <c r="C3" t="s">
        <v>718</v>
      </c>
      <c r="D3" t="s">
        <v>722</v>
      </c>
      <c r="E3" t="s">
        <v>710</v>
      </c>
    </row>
    <row r="4" spans="1:5">
      <c r="A4" s="9" t="s">
        <v>28</v>
      </c>
      <c r="B4" s="17">
        <v>1735523.3500000003</v>
      </c>
      <c r="C4" s="17">
        <v>333229.47000000003</v>
      </c>
      <c r="D4" s="15">
        <v>46</v>
      </c>
      <c r="E4" s="10">
        <f>C4/B4</f>
        <v>0.1920051781498647</v>
      </c>
    </row>
    <row r="5" spans="1:5">
      <c r="A5" s="9" t="s">
        <v>45</v>
      </c>
      <c r="B5" s="17">
        <v>1423128.15</v>
      </c>
      <c r="C5" s="17">
        <v>279513.67999999993</v>
      </c>
      <c r="D5" s="15">
        <v>39</v>
      </c>
      <c r="E5" s="10">
        <f t="shared" ref="E5:E9" si="0">C5/B5</f>
        <v>0.19640794822307461</v>
      </c>
    </row>
    <row r="6" spans="1:5">
      <c r="A6" s="9" t="s">
        <v>39</v>
      </c>
      <c r="B6" s="17">
        <v>1065263.8600000001</v>
      </c>
      <c r="C6" s="17">
        <v>204641.31</v>
      </c>
      <c r="D6" s="15">
        <v>44</v>
      </c>
      <c r="E6" s="10">
        <f t="shared" si="0"/>
        <v>0.19210386992758768</v>
      </c>
    </row>
    <row r="7" spans="1:5">
      <c r="A7" s="9" t="s">
        <v>71</v>
      </c>
      <c r="B7" s="17">
        <v>926429.51</v>
      </c>
      <c r="C7" s="17">
        <v>218861.94999999995</v>
      </c>
      <c r="D7" s="15">
        <v>48</v>
      </c>
      <c r="E7" s="10">
        <f t="shared" si="0"/>
        <v>0.23624242064568943</v>
      </c>
    </row>
    <row r="8" spans="1:5">
      <c r="A8" s="9" t="s">
        <v>78</v>
      </c>
      <c r="B8" s="17">
        <v>760676.4</v>
      </c>
      <c r="C8" s="17">
        <v>173804.01</v>
      </c>
      <c r="D8" s="15">
        <v>38</v>
      </c>
      <c r="E8" s="10">
        <f t="shared" si="0"/>
        <v>0.22848613418268268</v>
      </c>
    </row>
    <row r="9" spans="1:5">
      <c r="A9" s="9" t="s">
        <v>716</v>
      </c>
      <c r="B9" s="15">
        <v>5911021.2699999986</v>
      </c>
      <c r="C9" s="15">
        <v>1210050.4199999995</v>
      </c>
      <c r="D9" s="15">
        <v>215</v>
      </c>
      <c r="E9" s="10">
        <f t="shared" si="0"/>
        <v>0.20471088915570756</v>
      </c>
    </row>
    <row r="15" spans="1:5">
      <c r="A15" s="9" t="s">
        <v>45</v>
      </c>
      <c r="B15" s="17">
        <v>5861819.1999999974</v>
      </c>
    </row>
    <row r="16" spans="1:5">
      <c r="A16" s="9" t="s">
        <v>28</v>
      </c>
      <c r="B16" s="17">
        <v>5618429.8800000018</v>
      </c>
    </row>
    <row r="17" spans="1:2">
      <c r="A17" s="9" t="s">
        <v>71</v>
      </c>
      <c r="B17" s="17">
        <v>5436298.5000000009</v>
      </c>
    </row>
    <row r="18" spans="1:2">
      <c r="A18" s="9" t="s">
        <v>39</v>
      </c>
      <c r="B18" s="17">
        <v>5225884.95</v>
      </c>
    </row>
    <row r="19" spans="1:2">
      <c r="A19" s="9" t="s">
        <v>78</v>
      </c>
      <c r="B19" s="17">
        <v>4550814.5999999996</v>
      </c>
    </row>
    <row r="23" spans="1:2">
      <c r="A23" s="9" t="s">
        <v>45</v>
      </c>
      <c r="B23" s="17">
        <v>1183054.7500000002</v>
      </c>
    </row>
    <row r="24" spans="1:2">
      <c r="A24" s="9" t="s">
        <v>28</v>
      </c>
      <c r="B24" s="17">
        <v>1026605.1299999997</v>
      </c>
    </row>
    <row r="25" spans="1:2">
      <c r="A25" s="9" t="s">
        <v>71</v>
      </c>
      <c r="B25" s="17">
        <v>1034856.8100000002</v>
      </c>
    </row>
    <row r="26" spans="1:2">
      <c r="A26" s="9" t="s">
        <v>39</v>
      </c>
      <c r="B26" s="17">
        <v>997928.8000000004</v>
      </c>
    </row>
    <row r="27" spans="1:2">
      <c r="A27" s="9" t="s">
        <v>78</v>
      </c>
      <c r="B27" s="17">
        <v>975641.64000000048</v>
      </c>
    </row>
    <row r="33" spans="4:12">
      <c r="D33" s="12" t="s">
        <v>732</v>
      </c>
      <c r="E33" s="12"/>
      <c r="F33" s="12"/>
      <c r="G33" s="12"/>
      <c r="H33" s="12"/>
      <c r="I33" s="12"/>
      <c r="J33" s="12"/>
      <c r="K33" s="12"/>
      <c r="L33" s="12"/>
    </row>
    <row r="34" spans="4:12">
      <c r="D34" s="12"/>
      <c r="E34" s="12"/>
      <c r="F34" s="12"/>
      <c r="G34" s="12"/>
      <c r="H34" s="12"/>
      <c r="I34" s="12"/>
      <c r="J34" s="12"/>
      <c r="K34" s="12"/>
      <c r="L34" s="12"/>
    </row>
    <row r="35" spans="4:12">
      <c r="D35" s="12"/>
      <c r="E35" s="12"/>
      <c r="F35" s="12"/>
      <c r="G35" s="12"/>
      <c r="H35" s="12"/>
      <c r="I35" s="12"/>
      <c r="J35" s="12"/>
      <c r="K35" s="12"/>
      <c r="L35" s="12"/>
    </row>
    <row r="36" spans="4:12">
      <c r="D36" s="12"/>
      <c r="E36" s="12"/>
      <c r="F36" s="12"/>
      <c r="G36" s="12"/>
      <c r="H36" s="12"/>
      <c r="I36" s="12"/>
      <c r="J36" s="12"/>
      <c r="K36" s="12"/>
      <c r="L36" s="12"/>
    </row>
    <row r="37" spans="4:12">
      <c r="D37" s="12"/>
      <c r="E37" s="12"/>
      <c r="F37" s="12"/>
      <c r="G37" s="12"/>
      <c r="H37" s="12"/>
      <c r="I37" s="12"/>
      <c r="J37" s="12"/>
      <c r="K37" s="12"/>
      <c r="L37" s="12"/>
    </row>
    <row r="38" spans="4:12">
      <c r="D38" s="12"/>
      <c r="E38" s="12"/>
      <c r="F38" s="12"/>
      <c r="G38" s="12"/>
      <c r="H38" s="12"/>
      <c r="I38" s="12"/>
      <c r="J38" s="12"/>
      <c r="K38" s="12"/>
      <c r="L38" s="12"/>
    </row>
    <row r="39" spans="4:12">
      <c r="D39" s="12"/>
      <c r="E39" s="12"/>
      <c r="F39" s="12"/>
      <c r="G39" s="12"/>
      <c r="H39" s="12"/>
      <c r="I39" s="12"/>
      <c r="J39" s="12"/>
      <c r="K39" s="12"/>
      <c r="L39" s="12"/>
    </row>
    <row r="40" spans="4:12">
      <c r="D40" s="12"/>
      <c r="E40" s="12"/>
      <c r="F40" s="12"/>
      <c r="G40" s="12"/>
      <c r="H40" s="12"/>
      <c r="I40" s="12"/>
      <c r="J40" s="12"/>
      <c r="K40" s="12"/>
      <c r="L40" s="12"/>
    </row>
  </sheetData>
  <sortState xmlns:xlrd2="http://schemas.microsoft.com/office/spreadsheetml/2017/richdata2" columnSort="1" ref="A3:D9">
    <sortCondition descending="1" ref="B3"/>
  </sortState>
  <mergeCells count="1">
    <mergeCell ref="D33:L40"/>
  </mergeCell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CEB06-D544-4643-B08E-F7FC49AFE9EE}">
  <dimension ref="A1:W149"/>
  <sheetViews>
    <sheetView tabSelected="1" workbookViewId="0">
      <selection sqref="A1:W149"/>
    </sheetView>
  </sheetViews>
  <sheetFormatPr defaultRowHeight="14.4"/>
  <sheetData>
    <row r="1" spans="1:23" ht="14.4" customHeight="1">
      <c r="A1" s="12" t="s">
        <v>741</v>
      </c>
      <c r="B1" s="12"/>
      <c r="C1" s="12"/>
      <c r="D1" s="12"/>
      <c r="E1" s="12"/>
      <c r="F1" s="12"/>
      <c r="G1" s="12"/>
      <c r="H1" s="12"/>
      <c r="I1" s="12"/>
      <c r="J1" s="12"/>
      <c r="K1" s="12"/>
      <c r="L1" s="12"/>
      <c r="M1" s="12"/>
      <c r="N1" s="12"/>
      <c r="O1" s="12"/>
      <c r="P1" s="12"/>
      <c r="Q1" s="12"/>
      <c r="R1" s="12"/>
      <c r="S1" s="12"/>
      <c r="T1" s="12"/>
      <c r="U1" s="12"/>
      <c r="V1" s="12"/>
      <c r="W1" s="12"/>
    </row>
    <row r="2" spans="1:23">
      <c r="A2" s="12"/>
      <c r="B2" s="12"/>
      <c r="C2" s="12"/>
      <c r="D2" s="12"/>
      <c r="E2" s="12"/>
      <c r="F2" s="12"/>
      <c r="G2" s="12"/>
      <c r="H2" s="12"/>
      <c r="I2" s="12"/>
      <c r="J2" s="12"/>
      <c r="K2" s="12"/>
      <c r="L2" s="12"/>
      <c r="M2" s="12"/>
      <c r="N2" s="12"/>
      <c r="O2" s="12"/>
      <c r="P2" s="12"/>
      <c r="Q2" s="12"/>
      <c r="R2" s="12"/>
      <c r="S2" s="12"/>
      <c r="T2" s="12"/>
      <c r="U2" s="12"/>
      <c r="V2" s="12"/>
      <c r="W2" s="12"/>
    </row>
    <row r="3" spans="1:23">
      <c r="A3" s="12"/>
      <c r="B3" s="12"/>
      <c r="C3" s="12"/>
      <c r="D3" s="12"/>
      <c r="E3" s="12"/>
      <c r="F3" s="12"/>
      <c r="G3" s="12"/>
      <c r="H3" s="12"/>
      <c r="I3" s="12"/>
      <c r="J3" s="12"/>
      <c r="K3" s="12"/>
      <c r="L3" s="12"/>
      <c r="M3" s="12"/>
      <c r="N3" s="12"/>
      <c r="O3" s="12"/>
      <c r="P3" s="12"/>
      <c r="Q3" s="12"/>
      <c r="R3" s="12"/>
      <c r="S3" s="12"/>
      <c r="T3" s="12"/>
      <c r="U3" s="12"/>
      <c r="V3" s="12"/>
      <c r="W3" s="12"/>
    </row>
    <row r="4" spans="1:23">
      <c r="A4" s="12"/>
      <c r="B4" s="12"/>
      <c r="C4" s="12"/>
      <c r="D4" s="12"/>
      <c r="E4" s="12"/>
      <c r="F4" s="12"/>
      <c r="G4" s="12"/>
      <c r="H4" s="12"/>
      <c r="I4" s="12"/>
      <c r="J4" s="12"/>
      <c r="K4" s="12"/>
      <c r="L4" s="12"/>
      <c r="M4" s="12"/>
      <c r="N4" s="12"/>
      <c r="O4" s="12"/>
      <c r="P4" s="12"/>
      <c r="Q4" s="12"/>
      <c r="R4" s="12"/>
      <c r="S4" s="12"/>
      <c r="T4" s="12"/>
      <c r="U4" s="12"/>
      <c r="V4" s="12"/>
      <c r="W4" s="12"/>
    </row>
    <row r="5" spans="1:23">
      <c r="A5" s="12"/>
      <c r="B5" s="12"/>
      <c r="C5" s="12"/>
      <c r="D5" s="12"/>
      <c r="E5" s="12"/>
      <c r="F5" s="12"/>
      <c r="G5" s="12"/>
      <c r="H5" s="12"/>
      <c r="I5" s="12"/>
      <c r="J5" s="12"/>
      <c r="K5" s="12"/>
      <c r="L5" s="12"/>
      <c r="M5" s="12"/>
      <c r="N5" s="12"/>
      <c r="O5" s="12"/>
      <c r="P5" s="12"/>
      <c r="Q5" s="12"/>
      <c r="R5" s="12"/>
      <c r="S5" s="12"/>
      <c r="T5" s="12"/>
      <c r="U5" s="12"/>
      <c r="V5" s="12"/>
      <c r="W5" s="12"/>
    </row>
    <row r="6" spans="1:23">
      <c r="A6" s="12"/>
      <c r="B6" s="12"/>
      <c r="C6" s="12"/>
      <c r="D6" s="12"/>
      <c r="E6" s="12"/>
      <c r="F6" s="12"/>
      <c r="G6" s="12"/>
      <c r="H6" s="12"/>
      <c r="I6" s="12"/>
      <c r="J6" s="12"/>
      <c r="K6" s="12"/>
      <c r="L6" s="12"/>
      <c r="M6" s="12"/>
      <c r="N6" s="12"/>
      <c r="O6" s="12"/>
      <c r="P6" s="12"/>
      <c r="Q6" s="12"/>
      <c r="R6" s="12"/>
      <c r="S6" s="12"/>
      <c r="T6" s="12"/>
      <c r="U6" s="12"/>
      <c r="V6" s="12"/>
      <c r="W6" s="12"/>
    </row>
    <row r="7" spans="1:23">
      <c r="A7" s="12"/>
      <c r="B7" s="12"/>
      <c r="C7" s="12"/>
      <c r="D7" s="12"/>
      <c r="E7" s="12"/>
      <c r="F7" s="12"/>
      <c r="G7" s="12"/>
      <c r="H7" s="12"/>
      <c r="I7" s="12"/>
      <c r="J7" s="12"/>
      <c r="K7" s="12"/>
      <c r="L7" s="12"/>
      <c r="M7" s="12"/>
      <c r="N7" s="12"/>
      <c r="O7" s="12"/>
      <c r="P7" s="12"/>
      <c r="Q7" s="12"/>
      <c r="R7" s="12"/>
      <c r="S7" s="12"/>
      <c r="T7" s="12"/>
      <c r="U7" s="12"/>
      <c r="V7" s="12"/>
      <c r="W7" s="12"/>
    </row>
    <row r="8" spans="1:23">
      <c r="A8" s="12"/>
      <c r="B8" s="12"/>
      <c r="C8" s="12"/>
      <c r="D8" s="12"/>
      <c r="E8" s="12"/>
      <c r="F8" s="12"/>
      <c r="G8" s="12"/>
      <c r="H8" s="12"/>
      <c r="I8" s="12"/>
      <c r="J8" s="12"/>
      <c r="K8" s="12"/>
      <c r="L8" s="12"/>
      <c r="M8" s="12"/>
      <c r="N8" s="12"/>
      <c r="O8" s="12"/>
      <c r="P8" s="12"/>
      <c r="Q8" s="12"/>
      <c r="R8" s="12"/>
      <c r="S8" s="12"/>
      <c r="T8" s="12"/>
      <c r="U8" s="12"/>
      <c r="V8" s="12"/>
      <c r="W8" s="12"/>
    </row>
    <row r="9" spans="1:23">
      <c r="A9" s="12"/>
      <c r="B9" s="12"/>
      <c r="C9" s="12"/>
      <c r="D9" s="12"/>
      <c r="E9" s="12"/>
      <c r="F9" s="12"/>
      <c r="G9" s="12"/>
      <c r="H9" s="12"/>
      <c r="I9" s="12"/>
      <c r="J9" s="12"/>
      <c r="K9" s="12"/>
      <c r="L9" s="12"/>
      <c r="M9" s="12"/>
      <c r="N9" s="12"/>
      <c r="O9" s="12"/>
      <c r="P9" s="12"/>
      <c r="Q9" s="12"/>
      <c r="R9" s="12"/>
      <c r="S9" s="12"/>
      <c r="T9" s="12"/>
      <c r="U9" s="12"/>
      <c r="V9" s="12"/>
      <c r="W9" s="12"/>
    </row>
    <row r="10" spans="1:23">
      <c r="A10" s="12"/>
      <c r="B10" s="12"/>
      <c r="C10" s="12"/>
      <c r="D10" s="12"/>
      <c r="E10" s="12"/>
      <c r="F10" s="12"/>
      <c r="G10" s="12"/>
      <c r="H10" s="12"/>
      <c r="I10" s="12"/>
      <c r="J10" s="12"/>
      <c r="K10" s="12"/>
      <c r="L10" s="12"/>
      <c r="M10" s="12"/>
      <c r="N10" s="12"/>
      <c r="O10" s="12"/>
      <c r="P10" s="12"/>
      <c r="Q10" s="12"/>
      <c r="R10" s="12"/>
      <c r="S10" s="12"/>
      <c r="T10" s="12"/>
      <c r="U10" s="12"/>
      <c r="V10" s="12"/>
      <c r="W10" s="12"/>
    </row>
    <row r="11" spans="1:23">
      <c r="A11" s="12"/>
      <c r="B11" s="12"/>
      <c r="C11" s="12"/>
      <c r="D11" s="12"/>
      <c r="E11" s="12"/>
      <c r="F11" s="12"/>
      <c r="G11" s="12"/>
      <c r="H11" s="12"/>
      <c r="I11" s="12"/>
      <c r="J11" s="12"/>
      <c r="K11" s="12"/>
      <c r="L11" s="12"/>
      <c r="M11" s="12"/>
      <c r="N11" s="12"/>
      <c r="O11" s="12"/>
      <c r="P11" s="12"/>
      <c r="Q11" s="12"/>
      <c r="R11" s="12"/>
      <c r="S11" s="12"/>
      <c r="T11" s="12"/>
      <c r="U11" s="12"/>
      <c r="V11" s="12"/>
      <c r="W11" s="12"/>
    </row>
    <row r="12" spans="1:23">
      <c r="A12" s="12"/>
      <c r="B12" s="12"/>
      <c r="C12" s="12"/>
      <c r="D12" s="12"/>
      <c r="E12" s="12"/>
      <c r="F12" s="12"/>
      <c r="G12" s="12"/>
      <c r="H12" s="12"/>
      <c r="I12" s="12"/>
      <c r="J12" s="12"/>
      <c r="K12" s="12"/>
      <c r="L12" s="12"/>
      <c r="M12" s="12"/>
      <c r="N12" s="12"/>
      <c r="O12" s="12"/>
      <c r="P12" s="12"/>
      <c r="Q12" s="12"/>
      <c r="R12" s="12"/>
      <c r="S12" s="12"/>
      <c r="T12" s="12"/>
      <c r="U12" s="12"/>
      <c r="V12" s="12"/>
      <c r="W12" s="12"/>
    </row>
    <row r="13" spans="1:23">
      <c r="A13" s="12"/>
      <c r="B13" s="12"/>
      <c r="C13" s="12"/>
      <c r="D13" s="12"/>
      <c r="E13" s="12"/>
      <c r="F13" s="12"/>
      <c r="G13" s="12"/>
      <c r="H13" s="12"/>
      <c r="I13" s="12"/>
      <c r="J13" s="12"/>
      <c r="K13" s="12"/>
      <c r="L13" s="12"/>
      <c r="M13" s="12"/>
      <c r="N13" s="12"/>
      <c r="O13" s="12"/>
      <c r="P13" s="12"/>
      <c r="Q13" s="12"/>
      <c r="R13" s="12"/>
      <c r="S13" s="12"/>
      <c r="T13" s="12"/>
      <c r="U13" s="12"/>
      <c r="V13" s="12"/>
      <c r="W13" s="12"/>
    </row>
    <row r="14" spans="1:23">
      <c r="A14" s="12"/>
      <c r="B14" s="12"/>
      <c r="C14" s="12"/>
      <c r="D14" s="12"/>
      <c r="E14" s="12"/>
      <c r="F14" s="12"/>
      <c r="G14" s="12"/>
      <c r="H14" s="12"/>
      <c r="I14" s="12"/>
      <c r="J14" s="12"/>
      <c r="K14" s="12"/>
      <c r="L14" s="12"/>
      <c r="M14" s="12"/>
      <c r="N14" s="12"/>
      <c r="O14" s="12"/>
      <c r="P14" s="12"/>
      <c r="Q14" s="12"/>
      <c r="R14" s="12"/>
      <c r="S14" s="12"/>
      <c r="T14" s="12"/>
      <c r="U14" s="12"/>
      <c r="V14" s="12"/>
      <c r="W14" s="12"/>
    </row>
    <row r="15" spans="1:23">
      <c r="A15" s="12"/>
      <c r="B15" s="12"/>
      <c r="C15" s="12"/>
      <c r="D15" s="12"/>
      <c r="E15" s="12"/>
      <c r="F15" s="12"/>
      <c r="G15" s="12"/>
      <c r="H15" s="12"/>
      <c r="I15" s="12"/>
      <c r="J15" s="12"/>
      <c r="K15" s="12"/>
      <c r="L15" s="12"/>
      <c r="M15" s="12"/>
      <c r="N15" s="12"/>
      <c r="O15" s="12"/>
      <c r="P15" s="12"/>
      <c r="Q15" s="12"/>
      <c r="R15" s="12"/>
      <c r="S15" s="12"/>
      <c r="T15" s="12"/>
      <c r="U15" s="12"/>
      <c r="V15" s="12"/>
      <c r="W15" s="12"/>
    </row>
    <row r="16" spans="1:23">
      <c r="A16" s="12"/>
      <c r="B16" s="12"/>
      <c r="C16" s="12"/>
      <c r="D16" s="12"/>
      <c r="E16" s="12"/>
      <c r="F16" s="12"/>
      <c r="G16" s="12"/>
      <c r="H16" s="12"/>
      <c r="I16" s="12"/>
      <c r="J16" s="12"/>
      <c r="K16" s="12"/>
      <c r="L16" s="12"/>
      <c r="M16" s="12"/>
      <c r="N16" s="12"/>
      <c r="O16" s="12"/>
      <c r="P16" s="12"/>
      <c r="Q16" s="12"/>
      <c r="R16" s="12"/>
      <c r="S16" s="12"/>
      <c r="T16" s="12"/>
      <c r="U16" s="12"/>
      <c r="V16" s="12"/>
      <c r="W16" s="12"/>
    </row>
    <row r="17" spans="1:23">
      <c r="A17" s="12"/>
      <c r="B17" s="12"/>
      <c r="C17" s="12"/>
      <c r="D17" s="12"/>
      <c r="E17" s="12"/>
      <c r="F17" s="12"/>
      <c r="G17" s="12"/>
      <c r="H17" s="12"/>
      <c r="I17" s="12"/>
      <c r="J17" s="12"/>
      <c r="K17" s="12"/>
      <c r="L17" s="12"/>
      <c r="M17" s="12"/>
      <c r="N17" s="12"/>
      <c r="O17" s="12"/>
      <c r="P17" s="12"/>
      <c r="Q17" s="12"/>
      <c r="R17" s="12"/>
      <c r="S17" s="12"/>
      <c r="T17" s="12"/>
      <c r="U17" s="12"/>
      <c r="V17" s="12"/>
      <c r="W17" s="12"/>
    </row>
    <row r="18" spans="1:23">
      <c r="A18" s="12"/>
      <c r="B18" s="12"/>
      <c r="C18" s="12"/>
      <c r="D18" s="12"/>
      <c r="E18" s="12"/>
      <c r="F18" s="12"/>
      <c r="G18" s="12"/>
      <c r="H18" s="12"/>
      <c r="I18" s="12"/>
      <c r="J18" s="12"/>
      <c r="K18" s="12"/>
      <c r="L18" s="12"/>
      <c r="M18" s="12"/>
      <c r="N18" s="12"/>
      <c r="O18" s="12"/>
      <c r="P18" s="12"/>
      <c r="Q18" s="12"/>
      <c r="R18" s="12"/>
      <c r="S18" s="12"/>
      <c r="T18" s="12"/>
      <c r="U18" s="12"/>
      <c r="V18" s="12"/>
      <c r="W18" s="12"/>
    </row>
    <row r="19" spans="1:23">
      <c r="A19" s="12"/>
      <c r="B19" s="12"/>
      <c r="C19" s="12"/>
      <c r="D19" s="12"/>
      <c r="E19" s="12"/>
      <c r="F19" s="12"/>
      <c r="G19" s="12"/>
      <c r="H19" s="12"/>
      <c r="I19" s="12"/>
      <c r="J19" s="12"/>
      <c r="K19" s="12"/>
      <c r="L19" s="12"/>
      <c r="M19" s="12"/>
      <c r="N19" s="12"/>
      <c r="O19" s="12"/>
      <c r="P19" s="12"/>
      <c r="Q19" s="12"/>
      <c r="R19" s="12"/>
      <c r="S19" s="12"/>
      <c r="T19" s="12"/>
      <c r="U19" s="12"/>
      <c r="V19" s="12"/>
      <c r="W19" s="12"/>
    </row>
    <row r="20" spans="1:23">
      <c r="A20" s="12"/>
      <c r="B20" s="12"/>
      <c r="C20" s="12"/>
      <c r="D20" s="12"/>
      <c r="E20" s="12"/>
      <c r="F20" s="12"/>
      <c r="G20" s="12"/>
      <c r="H20" s="12"/>
      <c r="I20" s="12"/>
      <c r="J20" s="12"/>
      <c r="K20" s="12"/>
      <c r="L20" s="12"/>
      <c r="M20" s="12"/>
      <c r="N20" s="12"/>
      <c r="O20" s="12"/>
      <c r="P20" s="12"/>
      <c r="Q20" s="12"/>
      <c r="R20" s="12"/>
      <c r="S20" s="12"/>
      <c r="T20" s="12"/>
      <c r="U20" s="12"/>
      <c r="V20" s="12"/>
      <c r="W20" s="12"/>
    </row>
    <row r="21" spans="1:23">
      <c r="A21" s="12"/>
      <c r="B21" s="12"/>
      <c r="C21" s="12"/>
      <c r="D21" s="12"/>
      <c r="E21" s="12"/>
      <c r="F21" s="12"/>
      <c r="G21" s="12"/>
      <c r="H21" s="12"/>
      <c r="I21" s="12"/>
      <c r="J21" s="12"/>
      <c r="K21" s="12"/>
      <c r="L21" s="12"/>
      <c r="M21" s="12"/>
      <c r="N21" s="12"/>
      <c r="O21" s="12"/>
      <c r="P21" s="12"/>
      <c r="Q21" s="12"/>
      <c r="R21" s="12"/>
      <c r="S21" s="12"/>
      <c r="T21" s="12"/>
      <c r="U21" s="12"/>
      <c r="V21" s="12"/>
      <c r="W21" s="12"/>
    </row>
    <row r="22" spans="1:23">
      <c r="A22" s="12"/>
      <c r="B22" s="12"/>
      <c r="C22" s="12"/>
      <c r="D22" s="12"/>
      <c r="E22" s="12"/>
      <c r="F22" s="12"/>
      <c r="G22" s="12"/>
      <c r="H22" s="12"/>
      <c r="I22" s="12"/>
      <c r="J22" s="12"/>
      <c r="K22" s="12"/>
      <c r="L22" s="12"/>
      <c r="M22" s="12"/>
      <c r="N22" s="12"/>
      <c r="O22" s="12"/>
      <c r="P22" s="12"/>
      <c r="Q22" s="12"/>
      <c r="R22" s="12"/>
      <c r="S22" s="12"/>
      <c r="T22" s="12"/>
      <c r="U22" s="12"/>
      <c r="V22" s="12"/>
      <c r="W22" s="12"/>
    </row>
    <row r="23" spans="1:23">
      <c r="A23" s="12"/>
      <c r="B23" s="12"/>
      <c r="C23" s="12"/>
      <c r="D23" s="12"/>
      <c r="E23" s="12"/>
      <c r="F23" s="12"/>
      <c r="G23" s="12"/>
      <c r="H23" s="12"/>
      <c r="I23" s="12"/>
      <c r="J23" s="12"/>
      <c r="K23" s="12"/>
      <c r="L23" s="12"/>
      <c r="M23" s="12"/>
      <c r="N23" s="12"/>
      <c r="O23" s="12"/>
      <c r="P23" s="12"/>
      <c r="Q23" s="12"/>
      <c r="R23" s="12"/>
      <c r="S23" s="12"/>
      <c r="T23" s="12"/>
      <c r="U23" s="12"/>
      <c r="V23" s="12"/>
      <c r="W23" s="12"/>
    </row>
    <row r="24" spans="1:23">
      <c r="A24" s="12"/>
      <c r="B24" s="12"/>
      <c r="C24" s="12"/>
      <c r="D24" s="12"/>
      <c r="E24" s="12"/>
      <c r="F24" s="12"/>
      <c r="G24" s="12"/>
      <c r="H24" s="12"/>
      <c r="I24" s="12"/>
      <c r="J24" s="12"/>
      <c r="K24" s="12"/>
      <c r="L24" s="12"/>
      <c r="M24" s="12"/>
      <c r="N24" s="12"/>
      <c r="O24" s="12"/>
      <c r="P24" s="12"/>
      <c r="Q24" s="12"/>
      <c r="R24" s="12"/>
      <c r="S24" s="12"/>
      <c r="T24" s="12"/>
      <c r="U24" s="12"/>
      <c r="V24" s="12"/>
      <c r="W24" s="12"/>
    </row>
    <row r="25" spans="1:23">
      <c r="A25" s="12"/>
      <c r="B25" s="12"/>
      <c r="C25" s="12"/>
      <c r="D25" s="12"/>
      <c r="E25" s="12"/>
      <c r="F25" s="12"/>
      <c r="G25" s="12"/>
      <c r="H25" s="12"/>
      <c r="I25" s="12"/>
      <c r="J25" s="12"/>
      <c r="K25" s="12"/>
      <c r="L25" s="12"/>
      <c r="M25" s="12"/>
      <c r="N25" s="12"/>
      <c r="O25" s="12"/>
      <c r="P25" s="12"/>
      <c r="Q25" s="12"/>
      <c r="R25" s="12"/>
      <c r="S25" s="12"/>
      <c r="T25" s="12"/>
      <c r="U25" s="12"/>
      <c r="V25" s="12"/>
      <c r="W25" s="12"/>
    </row>
    <row r="26" spans="1:23">
      <c r="A26" s="12"/>
      <c r="B26" s="12"/>
      <c r="C26" s="12"/>
      <c r="D26" s="12"/>
      <c r="E26" s="12"/>
      <c r="F26" s="12"/>
      <c r="G26" s="12"/>
      <c r="H26" s="12"/>
      <c r="I26" s="12"/>
      <c r="J26" s="12"/>
      <c r="K26" s="12"/>
      <c r="L26" s="12"/>
      <c r="M26" s="12"/>
      <c r="N26" s="12"/>
      <c r="O26" s="12"/>
      <c r="P26" s="12"/>
      <c r="Q26" s="12"/>
      <c r="R26" s="12"/>
      <c r="S26" s="12"/>
      <c r="T26" s="12"/>
      <c r="U26" s="12"/>
      <c r="V26" s="12"/>
      <c r="W26" s="12"/>
    </row>
    <row r="27" spans="1:23">
      <c r="A27" s="12"/>
      <c r="B27" s="12"/>
      <c r="C27" s="12"/>
      <c r="D27" s="12"/>
      <c r="E27" s="12"/>
      <c r="F27" s="12"/>
      <c r="G27" s="12"/>
      <c r="H27" s="12"/>
      <c r="I27" s="12"/>
      <c r="J27" s="12"/>
      <c r="K27" s="12"/>
      <c r="L27" s="12"/>
      <c r="M27" s="12"/>
      <c r="N27" s="12"/>
      <c r="O27" s="12"/>
      <c r="P27" s="12"/>
      <c r="Q27" s="12"/>
      <c r="R27" s="12"/>
      <c r="S27" s="12"/>
      <c r="T27" s="12"/>
      <c r="U27" s="12"/>
      <c r="V27" s="12"/>
      <c r="W27" s="12"/>
    </row>
    <row r="28" spans="1:23">
      <c r="A28" s="12"/>
      <c r="B28" s="12"/>
      <c r="C28" s="12"/>
      <c r="D28" s="12"/>
      <c r="E28" s="12"/>
      <c r="F28" s="12"/>
      <c r="G28" s="12"/>
      <c r="H28" s="12"/>
      <c r="I28" s="12"/>
      <c r="J28" s="12"/>
      <c r="K28" s="12"/>
      <c r="L28" s="12"/>
      <c r="M28" s="12"/>
      <c r="N28" s="12"/>
      <c r="O28" s="12"/>
      <c r="P28" s="12"/>
      <c r="Q28" s="12"/>
      <c r="R28" s="12"/>
      <c r="S28" s="12"/>
      <c r="T28" s="12"/>
      <c r="U28" s="12"/>
      <c r="V28" s="12"/>
      <c r="W28" s="12"/>
    </row>
    <row r="29" spans="1:23">
      <c r="A29" s="12"/>
      <c r="B29" s="12"/>
      <c r="C29" s="12"/>
      <c r="D29" s="12"/>
      <c r="E29" s="12"/>
      <c r="F29" s="12"/>
      <c r="G29" s="12"/>
      <c r="H29" s="12"/>
      <c r="I29" s="12"/>
      <c r="J29" s="12"/>
      <c r="K29" s="12"/>
      <c r="L29" s="12"/>
      <c r="M29" s="12"/>
      <c r="N29" s="12"/>
      <c r="O29" s="12"/>
      <c r="P29" s="12"/>
      <c r="Q29" s="12"/>
      <c r="R29" s="12"/>
      <c r="S29" s="12"/>
      <c r="T29" s="12"/>
      <c r="U29" s="12"/>
      <c r="V29" s="12"/>
      <c r="W29" s="12"/>
    </row>
    <row r="30" spans="1:23">
      <c r="A30" s="12"/>
      <c r="B30" s="12"/>
      <c r="C30" s="12"/>
      <c r="D30" s="12"/>
      <c r="E30" s="12"/>
      <c r="F30" s="12"/>
      <c r="G30" s="12"/>
      <c r="H30" s="12"/>
      <c r="I30" s="12"/>
      <c r="J30" s="12"/>
      <c r="K30" s="12"/>
      <c r="L30" s="12"/>
      <c r="M30" s="12"/>
      <c r="N30" s="12"/>
      <c r="O30" s="12"/>
      <c r="P30" s="12"/>
      <c r="Q30" s="12"/>
      <c r="R30" s="12"/>
      <c r="S30" s="12"/>
      <c r="T30" s="12"/>
      <c r="U30" s="12"/>
      <c r="V30" s="12"/>
      <c r="W30" s="12"/>
    </row>
    <row r="31" spans="1:23">
      <c r="A31" s="12"/>
      <c r="B31" s="12"/>
      <c r="C31" s="12"/>
      <c r="D31" s="12"/>
      <c r="E31" s="12"/>
      <c r="F31" s="12"/>
      <c r="G31" s="12"/>
      <c r="H31" s="12"/>
      <c r="I31" s="12"/>
      <c r="J31" s="12"/>
      <c r="K31" s="12"/>
      <c r="L31" s="12"/>
      <c r="M31" s="12"/>
      <c r="N31" s="12"/>
      <c r="O31" s="12"/>
      <c r="P31" s="12"/>
      <c r="Q31" s="12"/>
      <c r="R31" s="12"/>
      <c r="S31" s="12"/>
      <c r="T31" s="12"/>
      <c r="U31" s="12"/>
      <c r="V31" s="12"/>
      <c r="W31" s="12"/>
    </row>
    <row r="32" spans="1:23">
      <c r="A32" s="12"/>
      <c r="B32" s="12"/>
      <c r="C32" s="12"/>
      <c r="D32" s="12"/>
      <c r="E32" s="12"/>
      <c r="F32" s="12"/>
      <c r="G32" s="12"/>
      <c r="H32" s="12"/>
      <c r="I32" s="12"/>
      <c r="J32" s="12"/>
      <c r="K32" s="12"/>
      <c r="L32" s="12"/>
      <c r="M32" s="12"/>
      <c r="N32" s="12"/>
      <c r="O32" s="12"/>
      <c r="P32" s="12"/>
      <c r="Q32" s="12"/>
      <c r="R32" s="12"/>
      <c r="S32" s="12"/>
      <c r="T32" s="12"/>
      <c r="U32" s="12"/>
      <c r="V32" s="12"/>
      <c r="W32" s="12"/>
    </row>
    <row r="33" spans="1:23">
      <c r="A33" s="12"/>
      <c r="B33" s="12"/>
      <c r="C33" s="12"/>
      <c r="D33" s="12"/>
      <c r="E33" s="12"/>
      <c r="F33" s="12"/>
      <c r="G33" s="12"/>
      <c r="H33" s="12"/>
      <c r="I33" s="12"/>
      <c r="J33" s="12"/>
      <c r="K33" s="12"/>
      <c r="L33" s="12"/>
      <c r="M33" s="12"/>
      <c r="N33" s="12"/>
      <c r="O33" s="12"/>
      <c r="P33" s="12"/>
      <c r="Q33" s="12"/>
      <c r="R33" s="12"/>
      <c r="S33" s="12"/>
      <c r="T33" s="12"/>
      <c r="U33" s="12"/>
      <c r="V33" s="12"/>
      <c r="W33" s="12"/>
    </row>
    <row r="34" spans="1:23">
      <c r="A34" s="12"/>
      <c r="B34" s="12"/>
      <c r="C34" s="12"/>
      <c r="D34" s="12"/>
      <c r="E34" s="12"/>
      <c r="F34" s="12"/>
      <c r="G34" s="12"/>
      <c r="H34" s="12"/>
      <c r="I34" s="12"/>
      <c r="J34" s="12"/>
      <c r="K34" s="12"/>
      <c r="L34" s="12"/>
      <c r="M34" s="12"/>
      <c r="N34" s="12"/>
      <c r="O34" s="12"/>
      <c r="P34" s="12"/>
      <c r="Q34" s="12"/>
      <c r="R34" s="12"/>
      <c r="S34" s="12"/>
      <c r="T34" s="12"/>
      <c r="U34" s="12"/>
      <c r="V34" s="12"/>
      <c r="W34" s="12"/>
    </row>
    <row r="35" spans="1:23">
      <c r="A35" s="12"/>
      <c r="B35" s="12"/>
      <c r="C35" s="12"/>
      <c r="D35" s="12"/>
      <c r="E35" s="12"/>
      <c r="F35" s="12"/>
      <c r="G35" s="12"/>
      <c r="H35" s="12"/>
      <c r="I35" s="12"/>
      <c r="J35" s="12"/>
      <c r="K35" s="12"/>
      <c r="L35" s="12"/>
      <c r="M35" s="12"/>
      <c r="N35" s="12"/>
      <c r="O35" s="12"/>
      <c r="P35" s="12"/>
      <c r="Q35" s="12"/>
      <c r="R35" s="12"/>
      <c r="S35" s="12"/>
      <c r="T35" s="12"/>
      <c r="U35" s="12"/>
      <c r="V35" s="12"/>
      <c r="W35" s="12"/>
    </row>
    <row r="36" spans="1:23">
      <c r="A36" s="12"/>
      <c r="B36" s="12"/>
      <c r="C36" s="12"/>
      <c r="D36" s="12"/>
      <c r="E36" s="12"/>
      <c r="F36" s="12"/>
      <c r="G36" s="12"/>
      <c r="H36" s="12"/>
      <c r="I36" s="12"/>
      <c r="J36" s="12"/>
      <c r="K36" s="12"/>
      <c r="L36" s="12"/>
      <c r="M36" s="12"/>
      <c r="N36" s="12"/>
      <c r="O36" s="12"/>
      <c r="P36" s="12"/>
      <c r="Q36" s="12"/>
      <c r="R36" s="12"/>
      <c r="S36" s="12"/>
      <c r="T36" s="12"/>
      <c r="U36" s="12"/>
      <c r="V36" s="12"/>
      <c r="W36" s="12"/>
    </row>
    <row r="37" spans="1:23">
      <c r="A37" s="12"/>
      <c r="B37" s="12"/>
      <c r="C37" s="12"/>
      <c r="D37" s="12"/>
      <c r="E37" s="12"/>
      <c r="F37" s="12"/>
      <c r="G37" s="12"/>
      <c r="H37" s="12"/>
      <c r="I37" s="12"/>
      <c r="J37" s="12"/>
      <c r="K37" s="12"/>
      <c r="L37" s="12"/>
      <c r="M37" s="12"/>
      <c r="N37" s="12"/>
      <c r="O37" s="12"/>
      <c r="P37" s="12"/>
      <c r="Q37" s="12"/>
      <c r="R37" s="12"/>
      <c r="S37" s="12"/>
      <c r="T37" s="12"/>
      <c r="U37" s="12"/>
      <c r="V37" s="12"/>
      <c r="W37" s="12"/>
    </row>
    <row r="38" spans="1:23">
      <c r="A38" s="12"/>
      <c r="B38" s="12"/>
      <c r="C38" s="12"/>
      <c r="D38" s="12"/>
      <c r="E38" s="12"/>
      <c r="F38" s="12"/>
      <c r="G38" s="12"/>
      <c r="H38" s="12"/>
      <c r="I38" s="12"/>
      <c r="J38" s="12"/>
      <c r="K38" s="12"/>
      <c r="L38" s="12"/>
      <c r="M38" s="12"/>
      <c r="N38" s="12"/>
      <c r="O38" s="12"/>
      <c r="P38" s="12"/>
      <c r="Q38" s="12"/>
      <c r="R38" s="12"/>
      <c r="S38" s="12"/>
      <c r="T38" s="12"/>
      <c r="U38" s="12"/>
      <c r="V38" s="12"/>
      <c r="W38" s="12"/>
    </row>
    <row r="39" spans="1:23">
      <c r="A39" s="12"/>
      <c r="B39" s="12"/>
      <c r="C39" s="12"/>
      <c r="D39" s="12"/>
      <c r="E39" s="12"/>
      <c r="F39" s="12"/>
      <c r="G39" s="12"/>
      <c r="H39" s="12"/>
      <c r="I39" s="12"/>
      <c r="J39" s="12"/>
      <c r="K39" s="12"/>
      <c r="L39" s="12"/>
      <c r="M39" s="12"/>
      <c r="N39" s="12"/>
      <c r="O39" s="12"/>
      <c r="P39" s="12"/>
      <c r="Q39" s="12"/>
      <c r="R39" s="12"/>
      <c r="S39" s="12"/>
      <c r="T39" s="12"/>
      <c r="U39" s="12"/>
      <c r="V39" s="12"/>
      <c r="W39" s="12"/>
    </row>
    <row r="40" spans="1:23">
      <c r="A40" s="12"/>
      <c r="B40" s="12"/>
      <c r="C40" s="12"/>
      <c r="D40" s="12"/>
      <c r="E40" s="12"/>
      <c r="F40" s="12"/>
      <c r="G40" s="12"/>
      <c r="H40" s="12"/>
      <c r="I40" s="12"/>
      <c r="J40" s="12"/>
      <c r="K40" s="12"/>
      <c r="L40" s="12"/>
      <c r="M40" s="12"/>
      <c r="N40" s="12"/>
      <c r="O40" s="12"/>
      <c r="P40" s="12"/>
      <c r="Q40" s="12"/>
      <c r="R40" s="12"/>
      <c r="S40" s="12"/>
      <c r="T40" s="12"/>
      <c r="U40" s="12"/>
      <c r="V40" s="12"/>
      <c r="W40" s="12"/>
    </row>
    <row r="41" spans="1:23">
      <c r="A41" s="12"/>
      <c r="B41" s="12"/>
      <c r="C41" s="12"/>
      <c r="D41" s="12"/>
      <c r="E41" s="12"/>
      <c r="F41" s="12"/>
      <c r="G41" s="12"/>
      <c r="H41" s="12"/>
      <c r="I41" s="12"/>
      <c r="J41" s="12"/>
      <c r="K41" s="12"/>
      <c r="L41" s="12"/>
      <c r="M41" s="12"/>
      <c r="N41" s="12"/>
      <c r="O41" s="12"/>
      <c r="P41" s="12"/>
      <c r="Q41" s="12"/>
      <c r="R41" s="12"/>
      <c r="S41" s="12"/>
      <c r="T41" s="12"/>
      <c r="U41" s="12"/>
      <c r="V41" s="12"/>
      <c r="W41" s="12"/>
    </row>
    <row r="42" spans="1:23">
      <c r="A42" s="12"/>
      <c r="B42" s="12"/>
      <c r="C42" s="12"/>
      <c r="D42" s="12"/>
      <c r="E42" s="12"/>
      <c r="F42" s="12"/>
      <c r="G42" s="12"/>
      <c r="H42" s="12"/>
      <c r="I42" s="12"/>
      <c r="J42" s="12"/>
      <c r="K42" s="12"/>
      <c r="L42" s="12"/>
      <c r="M42" s="12"/>
      <c r="N42" s="12"/>
      <c r="O42" s="12"/>
      <c r="P42" s="12"/>
      <c r="Q42" s="12"/>
      <c r="R42" s="12"/>
      <c r="S42" s="12"/>
      <c r="T42" s="12"/>
      <c r="U42" s="12"/>
      <c r="V42" s="12"/>
      <c r="W42" s="12"/>
    </row>
    <row r="43" spans="1:23">
      <c r="A43" s="12"/>
      <c r="B43" s="12"/>
      <c r="C43" s="12"/>
      <c r="D43" s="12"/>
      <c r="E43" s="12"/>
      <c r="F43" s="12"/>
      <c r="G43" s="12"/>
      <c r="H43" s="12"/>
      <c r="I43" s="12"/>
      <c r="J43" s="12"/>
      <c r="K43" s="12"/>
      <c r="L43" s="12"/>
      <c r="M43" s="12"/>
      <c r="N43" s="12"/>
      <c r="O43" s="12"/>
      <c r="P43" s="12"/>
      <c r="Q43" s="12"/>
      <c r="R43" s="12"/>
      <c r="S43" s="12"/>
      <c r="T43" s="12"/>
      <c r="U43" s="12"/>
      <c r="V43" s="12"/>
      <c r="W43" s="12"/>
    </row>
    <row r="44" spans="1:23">
      <c r="A44" s="12"/>
      <c r="B44" s="12"/>
      <c r="C44" s="12"/>
      <c r="D44" s="12"/>
      <c r="E44" s="12"/>
      <c r="F44" s="12"/>
      <c r="G44" s="12"/>
      <c r="H44" s="12"/>
      <c r="I44" s="12"/>
      <c r="J44" s="12"/>
      <c r="K44" s="12"/>
      <c r="L44" s="12"/>
      <c r="M44" s="12"/>
      <c r="N44" s="12"/>
      <c r="O44" s="12"/>
      <c r="P44" s="12"/>
      <c r="Q44" s="12"/>
      <c r="R44" s="12"/>
      <c r="S44" s="12"/>
      <c r="T44" s="12"/>
      <c r="U44" s="12"/>
      <c r="V44" s="12"/>
      <c r="W44" s="12"/>
    </row>
    <row r="45" spans="1:23">
      <c r="A45" s="12"/>
      <c r="B45" s="12"/>
      <c r="C45" s="12"/>
      <c r="D45" s="12"/>
      <c r="E45" s="12"/>
      <c r="F45" s="12"/>
      <c r="G45" s="12"/>
      <c r="H45" s="12"/>
      <c r="I45" s="12"/>
      <c r="J45" s="12"/>
      <c r="K45" s="12"/>
      <c r="L45" s="12"/>
      <c r="M45" s="12"/>
      <c r="N45" s="12"/>
      <c r="O45" s="12"/>
      <c r="P45" s="12"/>
      <c r="Q45" s="12"/>
      <c r="R45" s="12"/>
      <c r="S45" s="12"/>
      <c r="T45" s="12"/>
      <c r="U45" s="12"/>
      <c r="V45" s="12"/>
      <c r="W45" s="12"/>
    </row>
    <row r="46" spans="1:23">
      <c r="A46" s="12"/>
      <c r="B46" s="12"/>
      <c r="C46" s="12"/>
      <c r="D46" s="12"/>
      <c r="E46" s="12"/>
      <c r="F46" s="12"/>
      <c r="G46" s="12"/>
      <c r="H46" s="12"/>
      <c r="I46" s="12"/>
      <c r="J46" s="12"/>
      <c r="K46" s="12"/>
      <c r="L46" s="12"/>
      <c r="M46" s="12"/>
      <c r="N46" s="12"/>
      <c r="O46" s="12"/>
      <c r="P46" s="12"/>
      <c r="Q46" s="12"/>
      <c r="R46" s="12"/>
      <c r="S46" s="12"/>
      <c r="T46" s="12"/>
      <c r="U46" s="12"/>
      <c r="V46" s="12"/>
      <c r="W46" s="12"/>
    </row>
    <row r="47" spans="1:23">
      <c r="A47" s="12"/>
      <c r="B47" s="12"/>
      <c r="C47" s="12"/>
      <c r="D47" s="12"/>
      <c r="E47" s="12"/>
      <c r="F47" s="12"/>
      <c r="G47" s="12"/>
      <c r="H47" s="12"/>
      <c r="I47" s="12"/>
      <c r="J47" s="12"/>
      <c r="K47" s="12"/>
      <c r="L47" s="12"/>
      <c r="M47" s="12"/>
      <c r="N47" s="12"/>
      <c r="O47" s="12"/>
      <c r="P47" s="12"/>
      <c r="Q47" s="12"/>
      <c r="R47" s="12"/>
      <c r="S47" s="12"/>
      <c r="T47" s="12"/>
      <c r="U47" s="12"/>
      <c r="V47" s="12"/>
      <c r="W47" s="12"/>
    </row>
    <row r="48" spans="1:23">
      <c r="A48" s="12"/>
      <c r="B48" s="12"/>
      <c r="C48" s="12"/>
      <c r="D48" s="12"/>
      <c r="E48" s="12"/>
      <c r="F48" s="12"/>
      <c r="G48" s="12"/>
      <c r="H48" s="12"/>
      <c r="I48" s="12"/>
      <c r="J48" s="12"/>
      <c r="K48" s="12"/>
      <c r="L48" s="12"/>
      <c r="M48" s="12"/>
      <c r="N48" s="12"/>
      <c r="O48" s="12"/>
      <c r="P48" s="12"/>
      <c r="Q48" s="12"/>
      <c r="R48" s="12"/>
      <c r="S48" s="12"/>
      <c r="T48" s="12"/>
      <c r="U48" s="12"/>
      <c r="V48" s="12"/>
      <c r="W48" s="12"/>
    </row>
    <row r="49" spans="1:23">
      <c r="A49" s="12"/>
      <c r="B49" s="12"/>
      <c r="C49" s="12"/>
      <c r="D49" s="12"/>
      <c r="E49" s="12"/>
      <c r="F49" s="12"/>
      <c r="G49" s="12"/>
      <c r="H49" s="12"/>
      <c r="I49" s="12"/>
      <c r="J49" s="12"/>
      <c r="K49" s="12"/>
      <c r="L49" s="12"/>
      <c r="M49" s="12"/>
      <c r="N49" s="12"/>
      <c r="O49" s="12"/>
      <c r="P49" s="12"/>
      <c r="Q49" s="12"/>
      <c r="R49" s="12"/>
      <c r="S49" s="12"/>
      <c r="T49" s="12"/>
      <c r="U49" s="12"/>
      <c r="V49" s="12"/>
      <c r="W49" s="12"/>
    </row>
    <row r="50" spans="1:23">
      <c r="A50" s="12"/>
      <c r="B50" s="12"/>
      <c r="C50" s="12"/>
      <c r="D50" s="12"/>
      <c r="E50" s="12"/>
      <c r="F50" s="12"/>
      <c r="G50" s="12"/>
      <c r="H50" s="12"/>
      <c r="I50" s="12"/>
      <c r="J50" s="12"/>
      <c r="K50" s="12"/>
      <c r="L50" s="12"/>
      <c r="M50" s="12"/>
      <c r="N50" s="12"/>
      <c r="O50" s="12"/>
      <c r="P50" s="12"/>
      <c r="Q50" s="12"/>
      <c r="R50" s="12"/>
      <c r="S50" s="12"/>
      <c r="T50" s="12"/>
      <c r="U50" s="12"/>
      <c r="V50" s="12"/>
      <c r="W50" s="12"/>
    </row>
    <row r="51" spans="1:23">
      <c r="A51" s="12"/>
      <c r="B51" s="12"/>
      <c r="C51" s="12"/>
      <c r="D51" s="12"/>
      <c r="E51" s="12"/>
      <c r="F51" s="12"/>
      <c r="G51" s="12"/>
      <c r="H51" s="12"/>
      <c r="I51" s="12"/>
      <c r="J51" s="12"/>
      <c r="K51" s="12"/>
      <c r="L51" s="12"/>
      <c r="M51" s="12"/>
      <c r="N51" s="12"/>
      <c r="O51" s="12"/>
      <c r="P51" s="12"/>
      <c r="Q51" s="12"/>
      <c r="R51" s="12"/>
      <c r="S51" s="12"/>
      <c r="T51" s="12"/>
      <c r="U51" s="12"/>
      <c r="V51" s="12"/>
      <c r="W51" s="12"/>
    </row>
    <row r="52" spans="1:23">
      <c r="A52" s="12"/>
      <c r="B52" s="12"/>
      <c r="C52" s="12"/>
      <c r="D52" s="12"/>
      <c r="E52" s="12"/>
      <c r="F52" s="12"/>
      <c r="G52" s="12"/>
      <c r="H52" s="12"/>
      <c r="I52" s="12"/>
      <c r="J52" s="12"/>
      <c r="K52" s="12"/>
      <c r="L52" s="12"/>
      <c r="M52" s="12"/>
      <c r="N52" s="12"/>
      <c r="O52" s="12"/>
      <c r="P52" s="12"/>
      <c r="Q52" s="12"/>
      <c r="R52" s="12"/>
      <c r="S52" s="12"/>
      <c r="T52" s="12"/>
      <c r="U52" s="12"/>
      <c r="V52" s="12"/>
      <c r="W52" s="12"/>
    </row>
    <row r="53" spans="1:23">
      <c r="A53" s="12"/>
      <c r="B53" s="12"/>
      <c r="C53" s="12"/>
      <c r="D53" s="12"/>
      <c r="E53" s="12"/>
      <c r="F53" s="12"/>
      <c r="G53" s="12"/>
      <c r="H53" s="12"/>
      <c r="I53" s="12"/>
      <c r="J53" s="12"/>
      <c r="K53" s="12"/>
      <c r="L53" s="12"/>
      <c r="M53" s="12"/>
      <c r="N53" s="12"/>
      <c r="O53" s="12"/>
      <c r="P53" s="12"/>
      <c r="Q53" s="12"/>
      <c r="R53" s="12"/>
      <c r="S53" s="12"/>
      <c r="T53" s="12"/>
      <c r="U53" s="12"/>
      <c r="V53" s="12"/>
      <c r="W53" s="12"/>
    </row>
    <row r="54" spans="1:23">
      <c r="A54" s="12"/>
      <c r="B54" s="12"/>
      <c r="C54" s="12"/>
      <c r="D54" s="12"/>
      <c r="E54" s="12"/>
      <c r="F54" s="12"/>
      <c r="G54" s="12"/>
      <c r="H54" s="12"/>
      <c r="I54" s="12"/>
      <c r="J54" s="12"/>
      <c r="K54" s="12"/>
      <c r="L54" s="12"/>
      <c r="M54" s="12"/>
      <c r="N54" s="12"/>
      <c r="O54" s="12"/>
      <c r="P54" s="12"/>
      <c r="Q54" s="12"/>
      <c r="R54" s="12"/>
      <c r="S54" s="12"/>
      <c r="T54" s="12"/>
      <c r="U54" s="12"/>
      <c r="V54" s="12"/>
      <c r="W54" s="12"/>
    </row>
    <row r="55" spans="1:23">
      <c r="A55" s="12"/>
      <c r="B55" s="12"/>
      <c r="C55" s="12"/>
      <c r="D55" s="12"/>
      <c r="E55" s="12"/>
      <c r="F55" s="12"/>
      <c r="G55" s="12"/>
      <c r="H55" s="12"/>
      <c r="I55" s="12"/>
      <c r="J55" s="12"/>
      <c r="K55" s="12"/>
      <c r="L55" s="12"/>
      <c r="M55" s="12"/>
      <c r="N55" s="12"/>
      <c r="O55" s="12"/>
      <c r="P55" s="12"/>
      <c r="Q55" s="12"/>
      <c r="R55" s="12"/>
      <c r="S55" s="12"/>
      <c r="T55" s="12"/>
      <c r="U55" s="12"/>
      <c r="V55" s="12"/>
      <c r="W55" s="12"/>
    </row>
    <row r="56" spans="1:23">
      <c r="A56" s="12"/>
      <c r="B56" s="12"/>
      <c r="C56" s="12"/>
      <c r="D56" s="12"/>
      <c r="E56" s="12"/>
      <c r="F56" s="12"/>
      <c r="G56" s="12"/>
      <c r="H56" s="12"/>
      <c r="I56" s="12"/>
      <c r="J56" s="12"/>
      <c r="K56" s="12"/>
      <c r="L56" s="12"/>
      <c r="M56" s="12"/>
      <c r="N56" s="12"/>
      <c r="O56" s="12"/>
      <c r="P56" s="12"/>
      <c r="Q56" s="12"/>
      <c r="R56" s="12"/>
      <c r="S56" s="12"/>
      <c r="T56" s="12"/>
      <c r="U56" s="12"/>
      <c r="V56" s="12"/>
      <c r="W56" s="12"/>
    </row>
    <row r="57" spans="1:23">
      <c r="A57" s="12"/>
      <c r="B57" s="12"/>
      <c r="C57" s="12"/>
      <c r="D57" s="12"/>
      <c r="E57" s="12"/>
      <c r="F57" s="12"/>
      <c r="G57" s="12"/>
      <c r="H57" s="12"/>
      <c r="I57" s="12"/>
      <c r="J57" s="12"/>
      <c r="K57" s="12"/>
      <c r="L57" s="12"/>
      <c r="M57" s="12"/>
      <c r="N57" s="12"/>
      <c r="O57" s="12"/>
      <c r="P57" s="12"/>
      <c r="Q57" s="12"/>
      <c r="R57" s="12"/>
      <c r="S57" s="12"/>
      <c r="T57" s="12"/>
      <c r="U57" s="12"/>
      <c r="V57" s="12"/>
      <c r="W57" s="12"/>
    </row>
    <row r="58" spans="1:23">
      <c r="A58" s="12"/>
      <c r="B58" s="12"/>
      <c r="C58" s="12"/>
      <c r="D58" s="12"/>
      <c r="E58" s="12"/>
      <c r="F58" s="12"/>
      <c r="G58" s="12"/>
      <c r="H58" s="12"/>
      <c r="I58" s="12"/>
      <c r="J58" s="12"/>
      <c r="K58" s="12"/>
      <c r="L58" s="12"/>
      <c r="M58" s="12"/>
      <c r="N58" s="12"/>
      <c r="O58" s="12"/>
      <c r="P58" s="12"/>
      <c r="Q58" s="12"/>
      <c r="R58" s="12"/>
      <c r="S58" s="12"/>
      <c r="T58" s="12"/>
      <c r="U58" s="12"/>
      <c r="V58" s="12"/>
      <c r="W58" s="12"/>
    </row>
    <row r="59" spans="1:23">
      <c r="A59" s="12"/>
      <c r="B59" s="12"/>
      <c r="C59" s="12"/>
      <c r="D59" s="12"/>
      <c r="E59" s="12"/>
      <c r="F59" s="12"/>
      <c r="G59" s="12"/>
      <c r="H59" s="12"/>
      <c r="I59" s="12"/>
      <c r="J59" s="12"/>
      <c r="K59" s="12"/>
      <c r="L59" s="12"/>
      <c r="M59" s="12"/>
      <c r="N59" s="12"/>
      <c r="O59" s="12"/>
      <c r="P59" s="12"/>
      <c r="Q59" s="12"/>
      <c r="R59" s="12"/>
      <c r="S59" s="12"/>
      <c r="T59" s="12"/>
      <c r="U59" s="12"/>
      <c r="V59" s="12"/>
      <c r="W59" s="12"/>
    </row>
    <row r="60" spans="1:23">
      <c r="A60" s="12"/>
      <c r="B60" s="12"/>
      <c r="C60" s="12"/>
      <c r="D60" s="12"/>
      <c r="E60" s="12"/>
      <c r="F60" s="12"/>
      <c r="G60" s="12"/>
      <c r="H60" s="12"/>
      <c r="I60" s="12"/>
      <c r="J60" s="12"/>
      <c r="K60" s="12"/>
      <c r="L60" s="12"/>
      <c r="M60" s="12"/>
      <c r="N60" s="12"/>
      <c r="O60" s="12"/>
      <c r="P60" s="12"/>
      <c r="Q60" s="12"/>
      <c r="R60" s="12"/>
      <c r="S60" s="12"/>
      <c r="T60" s="12"/>
      <c r="U60" s="12"/>
      <c r="V60" s="12"/>
      <c r="W60" s="12"/>
    </row>
    <row r="61" spans="1:23">
      <c r="A61" s="12"/>
      <c r="B61" s="12"/>
      <c r="C61" s="12"/>
      <c r="D61" s="12"/>
      <c r="E61" s="12"/>
      <c r="F61" s="12"/>
      <c r="G61" s="12"/>
      <c r="H61" s="12"/>
      <c r="I61" s="12"/>
      <c r="J61" s="12"/>
      <c r="K61" s="12"/>
      <c r="L61" s="12"/>
      <c r="M61" s="12"/>
      <c r="N61" s="12"/>
      <c r="O61" s="12"/>
      <c r="P61" s="12"/>
      <c r="Q61" s="12"/>
      <c r="R61" s="12"/>
      <c r="S61" s="12"/>
      <c r="T61" s="12"/>
      <c r="U61" s="12"/>
      <c r="V61" s="12"/>
      <c r="W61" s="12"/>
    </row>
    <row r="62" spans="1:23">
      <c r="A62" s="12"/>
      <c r="B62" s="12"/>
      <c r="C62" s="12"/>
      <c r="D62" s="12"/>
      <c r="E62" s="12"/>
      <c r="F62" s="12"/>
      <c r="G62" s="12"/>
      <c r="H62" s="12"/>
      <c r="I62" s="12"/>
      <c r="J62" s="12"/>
      <c r="K62" s="12"/>
      <c r="L62" s="12"/>
      <c r="M62" s="12"/>
      <c r="N62" s="12"/>
      <c r="O62" s="12"/>
      <c r="P62" s="12"/>
      <c r="Q62" s="12"/>
      <c r="R62" s="12"/>
      <c r="S62" s="12"/>
      <c r="T62" s="12"/>
      <c r="U62" s="12"/>
      <c r="V62" s="12"/>
      <c r="W62" s="12"/>
    </row>
    <row r="63" spans="1:23">
      <c r="A63" s="12"/>
      <c r="B63" s="12"/>
      <c r="C63" s="12"/>
      <c r="D63" s="12"/>
      <c r="E63" s="12"/>
      <c r="F63" s="12"/>
      <c r="G63" s="12"/>
      <c r="H63" s="12"/>
      <c r="I63" s="12"/>
      <c r="J63" s="12"/>
      <c r="K63" s="12"/>
      <c r="L63" s="12"/>
      <c r="M63" s="12"/>
      <c r="N63" s="12"/>
      <c r="O63" s="12"/>
      <c r="P63" s="12"/>
      <c r="Q63" s="12"/>
      <c r="R63" s="12"/>
      <c r="S63" s="12"/>
      <c r="T63" s="12"/>
      <c r="U63" s="12"/>
      <c r="V63" s="12"/>
      <c r="W63" s="12"/>
    </row>
    <row r="64" spans="1:23">
      <c r="A64" s="12"/>
      <c r="B64" s="12"/>
      <c r="C64" s="12"/>
      <c r="D64" s="12"/>
      <c r="E64" s="12"/>
      <c r="F64" s="12"/>
      <c r="G64" s="12"/>
      <c r="H64" s="12"/>
      <c r="I64" s="12"/>
      <c r="J64" s="12"/>
      <c r="K64" s="12"/>
      <c r="L64" s="12"/>
      <c r="M64" s="12"/>
      <c r="N64" s="12"/>
      <c r="O64" s="12"/>
      <c r="P64" s="12"/>
      <c r="Q64" s="12"/>
      <c r="R64" s="12"/>
      <c r="S64" s="12"/>
      <c r="T64" s="12"/>
      <c r="U64" s="12"/>
      <c r="V64" s="12"/>
      <c r="W64" s="12"/>
    </row>
    <row r="65" spans="1:23">
      <c r="A65" s="12"/>
      <c r="B65" s="12"/>
      <c r="C65" s="12"/>
      <c r="D65" s="12"/>
      <c r="E65" s="12"/>
      <c r="F65" s="12"/>
      <c r="G65" s="12"/>
      <c r="H65" s="12"/>
      <c r="I65" s="12"/>
      <c r="J65" s="12"/>
      <c r="K65" s="12"/>
      <c r="L65" s="12"/>
      <c r="M65" s="12"/>
      <c r="N65" s="12"/>
      <c r="O65" s="12"/>
      <c r="P65" s="12"/>
      <c r="Q65" s="12"/>
      <c r="R65" s="12"/>
      <c r="S65" s="12"/>
      <c r="T65" s="12"/>
      <c r="U65" s="12"/>
      <c r="V65" s="12"/>
      <c r="W65" s="12"/>
    </row>
    <row r="66" spans="1:23">
      <c r="A66" s="12"/>
      <c r="B66" s="12"/>
      <c r="C66" s="12"/>
      <c r="D66" s="12"/>
      <c r="E66" s="12"/>
      <c r="F66" s="12"/>
      <c r="G66" s="12"/>
      <c r="H66" s="12"/>
      <c r="I66" s="12"/>
      <c r="J66" s="12"/>
      <c r="K66" s="12"/>
      <c r="L66" s="12"/>
      <c r="M66" s="12"/>
      <c r="N66" s="12"/>
      <c r="O66" s="12"/>
      <c r="P66" s="12"/>
      <c r="Q66" s="12"/>
      <c r="R66" s="12"/>
      <c r="S66" s="12"/>
      <c r="T66" s="12"/>
      <c r="U66" s="12"/>
      <c r="V66" s="12"/>
      <c r="W66" s="12"/>
    </row>
    <row r="67" spans="1:23">
      <c r="A67" s="12"/>
      <c r="B67" s="12"/>
      <c r="C67" s="12"/>
      <c r="D67" s="12"/>
      <c r="E67" s="12"/>
      <c r="F67" s="12"/>
      <c r="G67" s="12"/>
      <c r="H67" s="12"/>
      <c r="I67" s="12"/>
      <c r="J67" s="12"/>
      <c r="K67" s="12"/>
      <c r="L67" s="12"/>
      <c r="M67" s="12"/>
      <c r="N67" s="12"/>
      <c r="O67" s="12"/>
      <c r="P67" s="12"/>
      <c r="Q67" s="12"/>
      <c r="R67" s="12"/>
      <c r="S67" s="12"/>
      <c r="T67" s="12"/>
      <c r="U67" s="12"/>
      <c r="V67" s="12"/>
      <c r="W67" s="12"/>
    </row>
    <row r="68" spans="1:23">
      <c r="A68" s="12"/>
      <c r="B68" s="12"/>
      <c r="C68" s="12"/>
      <c r="D68" s="12"/>
      <c r="E68" s="12"/>
      <c r="F68" s="12"/>
      <c r="G68" s="12"/>
      <c r="H68" s="12"/>
      <c r="I68" s="12"/>
      <c r="J68" s="12"/>
      <c r="K68" s="12"/>
      <c r="L68" s="12"/>
      <c r="M68" s="12"/>
      <c r="N68" s="12"/>
      <c r="O68" s="12"/>
      <c r="P68" s="12"/>
      <c r="Q68" s="12"/>
      <c r="R68" s="12"/>
      <c r="S68" s="12"/>
      <c r="T68" s="12"/>
      <c r="U68" s="12"/>
      <c r="V68" s="12"/>
      <c r="W68" s="12"/>
    </row>
    <row r="69" spans="1:23">
      <c r="A69" s="12"/>
      <c r="B69" s="12"/>
      <c r="C69" s="12"/>
      <c r="D69" s="12"/>
      <c r="E69" s="12"/>
      <c r="F69" s="12"/>
      <c r="G69" s="12"/>
      <c r="H69" s="12"/>
      <c r="I69" s="12"/>
      <c r="J69" s="12"/>
      <c r="K69" s="12"/>
      <c r="L69" s="12"/>
      <c r="M69" s="12"/>
      <c r="N69" s="12"/>
      <c r="O69" s="12"/>
      <c r="P69" s="12"/>
      <c r="Q69" s="12"/>
      <c r="R69" s="12"/>
      <c r="S69" s="12"/>
      <c r="T69" s="12"/>
      <c r="U69" s="12"/>
      <c r="V69" s="12"/>
      <c r="W69" s="12"/>
    </row>
    <row r="70" spans="1:23">
      <c r="A70" s="12"/>
      <c r="B70" s="12"/>
      <c r="C70" s="12"/>
      <c r="D70" s="12"/>
      <c r="E70" s="12"/>
      <c r="F70" s="12"/>
      <c r="G70" s="12"/>
      <c r="H70" s="12"/>
      <c r="I70" s="12"/>
      <c r="J70" s="12"/>
      <c r="K70" s="12"/>
      <c r="L70" s="12"/>
      <c r="M70" s="12"/>
      <c r="N70" s="12"/>
      <c r="O70" s="12"/>
      <c r="P70" s="12"/>
      <c r="Q70" s="12"/>
      <c r="R70" s="12"/>
      <c r="S70" s="12"/>
      <c r="T70" s="12"/>
      <c r="U70" s="12"/>
      <c r="V70" s="12"/>
      <c r="W70" s="12"/>
    </row>
    <row r="71" spans="1:23">
      <c r="A71" s="12"/>
      <c r="B71" s="12"/>
      <c r="C71" s="12"/>
      <c r="D71" s="12"/>
      <c r="E71" s="12"/>
      <c r="F71" s="12"/>
      <c r="G71" s="12"/>
      <c r="H71" s="12"/>
      <c r="I71" s="12"/>
      <c r="J71" s="12"/>
      <c r="K71" s="12"/>
      <c r="L71" s="12"/>
      <c r="M71" s="12"/>
      <c r="N71" s="12"/>
      <c r="O71" s="12"/>
      <c r="P71" s="12"/>
      <c r="Q71" s="12"/>
      <c r="R71" s="12"/>
      <c r="S71" s="12"/>
      <c r="T71" s="12"/>
      <c r="U71" s="12"/>
      <c r="V71" s="12"/>
      <c r="W71" s="12"/>
    </row>
    <row r="72" spans="1:23">
      <c r="A72" s="12"/>
      <c r="B72" s="12"/>
      <c r="C72" s="12"/>
      <c r="D72" s="12"/>
      <c r="E72" s="12"/>
      <c r="F72" s="12"/>
      <c r="G72" s="12"/>
      <c r="H72" s="12"/>
      <c r="I72" s="12"/>
      <c r="J72" s="12"/>
      <c r="K72" s="12"/>
      <c r="L72" s="12"/>
      <c r="M72" s="12"/>
      <c r="N72" s="12"/>
      <c r="O72" s="12"/>
      <c r="P72" s="12"/>
      <c r="Q72" s="12"/>
      <c r="R72" s="12"/>
      <c r="S72" s="12"/>
      <c r="T72" s="12"/>
      <c r="U72" s="12"/>
      <c r="V72" s="12"/>
      <c r="W72" s="12"/>
    </row>
    <row r="73" spans="1:23">
      <c r="A73" s="12"/>
      <c r="B73" s="12"/>
      <c r="C73" s="12"/>
      <c r="D73" s="12"/>
      <c r="E73" s="12"/>
      <c r="F73" s="12"/>
      <c r="G73" s="12"/>
      <c r="H73" s="12"/>
      <c r="I73" s="12"/>
      <c r="J73" s="12"/>
      <c r="K73" s="12"/>
      <c r="L73" s="12"/>
      <c r="M73" s="12"/>
      <c r="N73" s="12"/>
      <c r="O73" s="12"/>
      <c r="P73" s="12"/>
      <c r="Q73" s="12"/>
      <c r="R73" s="12"/>
      <c r="S73" s="12"/>
      <c r="T73" s="12"/>
      <c r="U73" s="12"/>
      <c r="V73" s="12"/>
      <c r="W73" s="12"/>
    </row>
    <row r="74" spans="1:23">
      <c r="A74" s="12"/>
      <c r="B74" s="12"/>
      <c r="C74" s="12"/>
      <c r="D74" s="12"/>
      <c r="E74" s="12"/>
      <c r="F74" s="12"/>
      <c r="G74" s="12"/>
      <c r="H74" s="12"/>
      <c r="I74" s="12"/>
      <c r="J74" s="12"/>
      <c r="K74" s="12"/>
      <c r="L74" s="12"/>
      <c r="M74" s="12"/>
      <c r="N74" s="12"/>
      <c r="O74" s="12"/>
      <c r="P74" s="12"/>
      <c r="Q74" s="12"/>
      <c r="R74" s="12"/>
      <c r="S74" s="12"/>
      <c r="T74" s="12"/>
      <c r="U74" s="12"/>
      <c r="V74" s="12"/>
      <c r="W74" s="12"/>
    </row>
    <row r="75" spans="1:23">
      <c r="A75" s="12"/>
      <c r="B75" s="12"/>
      <c r="C75" s="12"/>
      <c r="D75" s="12"/>
      <c r="E75" s="12"/>
      <c r="F75" s="12"/>
      <c r="G75" s="12"/>
      <c r="H75" s="12"/>
      <c r="I75" s="12"/>
      <c r="J75" s="12"/>
      <c r="K75" s="12"/>
      <c r="L75" s="12"/>
      <c r="M75" s="12"/>
      <c r="N75" s="12"/>
      <c r="O75" s="12"/>
      <c r="P75" s="12"/>
      <c r="Q75" s="12"/>
      <c r="R75" s="12"/>
      <c r="S75" s="12"/>
      <c r="T75" s="12"/>
      <c r="U75" s="12"/>
      <c r="V75" s="12"/>
      <c r="W75" s="12"/>
    </row>
    <row r="76" spans="1:23">
      <c r="A76" s="12"/>
      <c r="B76" s="12"/>
      <c r="C76" s="12"/>
      <c r="D76" s="12"/>
      <c r="E76" s="12"/>
      <c r="F76" s="12"/>
      <c r="G76" s="12"/>
      <c r="H76" s="12"/>
      <c r="I76" s="12"/>
      <c r="J76" s="12"/>
      <c r="K76" s="12"/>
      <c r="L76" s="12"/>
      <c r="M76" s="12"/>
      <c r="N76" s="12"/>
      <c r="O76" s="12"/>
      <c r="P76" s="12"/>
      <c r="Q76" s="12"/>
      <c r="R76" s="12"/>
      <c r="S76" s="12"/>
      <c r="T76" s="12"/>
      <c r="U76" s="12"/>
      <c r="V76" s="12"/>
      <c r="W76" s="12"/>
    </row>
    <row r="77" spans="1:23">
      <c r="A77" s="12"/>
      <c r="B77" s="12"/>
      <c r="C77" s="12"/>
      <c r="D77" s="12"/>
      <c r="E77" s="12"/>
      <c r="F77" s="12"/>
      <c r="G77" s="12"/>
      <c r="H77" s="12"/>
      <c r="I77" s="12"/>
      <c r="J77" s="12"/>
      <c r="K77" s="12"/>
      <c r="L77" s="12"/>
      <c r="M77" s="12"/>
      <c r="N77" s="12"/>
      <c r="O77" s="12"/>
      <c r="P77" s="12"/>
      <c r="Q77" s="12"/>
      <c r="R77" s="12"/>
      <c r="S77" s="12"/>
      <c r="T77" s="12"/>
      <c r="U77" s="12"/>
      <c r="V77" s="12"/>
      <c r="W77" s="12"/>
    </row>
    <row r="78" spans="1:23">
      <c r="A78" s="12"/>
      <c r="B78" s="12"/>
      <c r="C78" s="12"/>
      <c r="D78" s="12"/>
      <c r="E78" s="12"/>
      <c r="F78" s="12"/>
      <c r="G78" s="12"/>
      <c r="H78" s="12"/>
      <c r="I78" s="12"/>
      <c r="J78" s="12"/>
      <c r="K78" s="12"/>
      <c r="L78" s="12"/>
      <c r="M78" s="12"/>
      <c r="N78" s="12"/>
      <c r="O78" s="12"/>
      <c r="P78" s="12"/>
      <c r="Q78" s="12"/>
      <c r="R78" s="12"/>
      <c r="S78" s="12"/>
      <c r="T78" s="12"/>
      <c r="U78" s="12"/>
      <c r="V78" s="12"/>
      <c r="W78" s="12"/>
    </row>
    <row r="79" spans="1:23">
      <c r="A79" s="12"/>
      <c r="B79" s="12"/>
      <c r="C79" s="12"/>
      <c r="D79" s="12"/>
      <c r="E79" s="12"/>
      <c r="F79" s="12"/>
      <c r="G79" s="12"/>
      <c r="H79" s="12"/>
      <c r="I79" s="12"/>
      <c r="J79" s="12"/>
      <c r="K79" s="12"/>
      <c r="L79" s="12"/>
      <c r="M79" s="12"/>
      <c r="N79" s="12"/>
      <c r="O79" s="12"/>
      <c r="P79" s="12"/>
      <c r="Q79" s="12"/>
      <c r="R79" s="12"/>
      <c r="S79" s="12"/>
      <c r="T79" s="12"/>
      <c r="U79" s="12"/>
      <c r="V79" s="12"/>
      <c r="W79" s="12"/>
    </row>
    <row r="80" spans="1:23">
      <c r="A80" s="12"/>
      <c r="B80" s="12"/>
      <c r="C80" s="12"/>
      <c r="D80" s="12"/>
      <c r="E80" s="12"/>
      <c r="F80" s="12"/>
      <c r="G80" s="12"/>
      <c r="H80" s="12"/>
      <c r="I80" s="12"/>
      <c r="J80" s="12"/>
      <c r="K80" s="12"/>
      <c r="L80" s="12"/>
      <c r="M80" s="12"/>
      <c r="N80" s="12"/>
      <c r="O80" s="12"/>
      <c r="P80" s="12"/>
      <c r="Q80" s="12"/>
      <c r="R80" s="12"/>
      <c r="S80" s="12"/>
      <c r="T80" s="12"/>
      <c r="U80" s="12"/>
      <c r="V80" s="12"/>
      <c r="W80" s="12"/>
    </row>
    <row r="81" spans="1:23">
      <c r="A81" s="12"/>
      <c r="B81" s="12"/>
      <c r="C81" s="12"/>
      <c r="D81" s="12"/>
      <c r="E81" s="12"/>
      <c r="F81" s="12"/>
      <c r="G81" s="12"/>
      <c r="H81" s="12"/>
      <c r="I81" s="12"/>
      <c r="J81" s="12"/>
      <c r="K81" s="12"/>
      <c r="L81" s="12"/>
      <c r="M81" s="12"/>
      <c r="N81" s="12"/>
      <c r="O81" s="12"/>
      <c r="P81" s="12"/>
      <c r="Q81" s="12"/>
      <c r="R81" s="12"/>
      <c r="S81" s="12"/>
      <c r="T81" s="12"/>
      <c r="U81" s="12"/>
      <c r="V81" s="12"/>
      <c r="W81" s="12"/>
    </row>
    <row r="82" spans="1:23">
      <c r="A82" s="12"/>
      <c r="B82" s="12"/>
      <c r="C82" s="12"/>
      <c r="D82" s="12"/>
      <c r="E82" s="12"/>
      <c r="F82" s="12"/>
      <c r="G82" s="12"/>
      <c r="H82" s="12"/>
      <c r="I82" s="12"/>
      <c r="J82" s="12"/>
      <c r="K82" s="12"/>
      <c r="L82" s="12"/>
      <c r="M82" s="12"/>
      <c r="N82" s="12"/>
      <c r="O82" s="12"/>
      <c r="P82" s="12"/>
      <c r="Q82" s="12"/>
      <c r="R82" s="12"/>
      <c r="S82" s="12"/>
      <c r="T82" s="12"/>
      <c r="U82" s="12"/>
      <c r="V82" s="12"/>
      <c r="W82" s="12"/>
    </row>
    <row r="83" spans="1:23">
      <c r="A83" s="12"/>
      <c r="B83" s="12"/>
      <c r="C83" s="12"/>
      <c r="D83" s="12"/>
      <c r="E83" s="12"/>
      <c r="F83" s="12"/>
      <c r="G83" s="12"/>
      <c r="H83" s="12"/>
      <c r="I83" s="12"/>
      <c r="J83" s="12"/>
      <c r="K83" s="12"/>
      <c r="L83" s="12"/>
      <c r="M83" s="12"/>
      <c r="N83" s="12"/>
      <c r="O83" s="12"/>
      <c r="P83" s="12"/>
      <c r="Q83" s="12"/>
      <c r="R83" s="12"/>
      <c r="S83" s="12"/>
      <c r="T83" s="12"/>
      <c r="U83" s="12"/>
      <c r="V83" s="12"/>
      <c r="W83" s="12"/>
    </row>
    <row r="84" spans="1:23">
      <c r="A84" s="12"/>
      <c r="B84" s="12"/>
      <c r="C84" s="12"/>
      <c r="D84" s="12"/>
      <c r="E84" s="12"/>
      <c r="F84" s="12"/>
      <c r="G84" s="12"/>
      <c r="H84" s="12"/>
      <c r="I84" s="12"/>
      <c r="J84" s="12"/>
      <c r="K84" s="12"/>
      <c r="L84" s="12"/>
      <c r="M84" s="12"/>
      <c r="N84" s="12"/>
      <c r="O84" s="12"/>
      <c r="P84" s="12"/>
      <c r="Q84" s="12"/>
      <c r="R84" s="12"/>
      <c r="S84" s="12"/>
      <c r="T84" s="12"/>
      <c r="U84" s="12"/>
      <c r="V84" s="12"/>
      <c r="W84" s="12"/>
    </row>
    <row r="85" spans="1:23">
      <c r="A85" s="12"/>
      <c r="B85" s="12"/>
      <c r="C85" s="12"/>
      <c r="D85" s="12"/>
      <c r="E85" s="12"/>
      <c r="F85" s="12"/>
      <c r="G85" s="12"/>
      <c r="H85" s="12"/>
      <c r="I85" s="12"/>
      <c r="J85" s="12"/>
      <c r="K85" s="12"/>
      <c r="L85" s="12"/>
      <c r="M85" s="12"/>
      <c r="N85" s="12"/>
      <c r="O85" s="12"/>
      <c r="P85" s="12"/>
      <c r="Q85" s="12"/>
      <c r="R85" s="12"/>
      <c r="S85" s="12"/>
      <c r="T85" s="12"/>
      <c r="U85" s="12"/>
      <c r="V85" s="12"/>
      <c r="W85" s="12"/>
    </row>
    <row r="86" spans="1:23">
      <c r="A86" s="12"/>
      <c r="B86" s="12"/>
      <c r="C86" s="12"/>
      <c r="D86" s="12"/>
      <c r="E86" s="12"/>
      <c r="F86" s="12"/>
      <c r="G86" s="12"/>
      <c r="H86" s="12"/>
      <c r="I86" s="12"/>
      <c r="J86" s="12"/>
      <c r="K86" s="12"/>
      <c r="L86" s="12"/>
      <c r="M86" s="12"/>
      <c r="N86" s="12"/>
      <c r="O86" s="12"/>
      <c r="P86" s="12"/>
      <c r="Q86" s="12"/>
      <c r="R86" s="12"/>
      <c r="S86" s="12"/>
      <c r="T86" s="12"/>
      <c r="U86" s="12"/>
      <c r="V86" s="12"/>
      <c r="W86" s="12"/>
    </row>
    <row r="87" spans="1:23">
      <c r="A87" s="12"/>
      <c r="B87" s="12"/>
      <c r="C87" s="12"/>
      <c r="D87" s="12"/>
      <c r="E87" s="12"/>
      <c r="F87" s="12"/>
      <c r="G87" s="12"/>
      <c r="H87" s="12"/>
      <c r="I87" s="12"/>
      <c r="J87" s="12"/>
      <c r="K87" s="12"/>
      <c r="L87" s="12"/>
      <c r="M87" s="12"/>
      <c r="N87" s="12"/>
      <c r="O87" s="12"/>
      <c r="P87" s="12"/>
      <c r="Q87" s="12"/>
      <c r="R87" s="12"/>
      <c r="S87" s="12"/>
      <c r="T87" s="12"/>
      <c r="U87" s="12"/>
      <c r="V87" s="12"/>
      <c r="W87" s="12"/>
    </row>
    <row r="88" spans="1:23">
      <c r="A88" s="12"/>
      <c r="B88" s="12"/>
      <c r="C88" s="12"/>
      <c r="D88" s="12"/>
      <c r="E88" s="12"/>
      <c r="F88" s="12"/>
      <c r="G88" s="12"/>
      <c r="H88" s="12"/>
      <c r="I88" s="12"/>
      <c r="J88" s="12"/>
      <c r="K88" s="12"/>
      <c r="L88" s="12"/>
      <c r="M88" s="12"/>
      <c r="N88" s="12"/>
      <c r="O88" s="12"/>
      <c r="P88" s="12"/>
      <c r="Q88" s="12"/>
      <c r="R88" s="12"/>
      <c r="S88" s="12"/>
      <c r="T88" s="12"/>
      <c r="U88" s="12"/>
      <c r="V88" s="12"/>
      <c r="W88" s="12"/>
    </row>
    <row r="89" spans="1:23">
      <c r="A89" s="12"/>
      <c r="B89" s="12"/>
      <c r="C89" s="12"/>
      <c r="D89" s="12"/>
      <c r="E89" s="12"/>
      <c r="F89" s="12"/>
      <c r="G89" s="12"/>
      <c r="H89" s="12"/>
      <c r="I89" s="12"/>
      <c r="J89" s="12"/>
      <c r="K89" s="12"/>
      <c r="L89" s="12"/>
      <c r="M89" s="12"/>
      <c r="N89" s="12"/>
      <c r="O89" s="12"/>
      <c r="P89" s="12"/>
      <c r="Q89" s="12"/>
      <c r="R89" s="12"/>
      <c r="S89" s="12"/>
      <c r="T89" s="12"/>
      <c r="U89" s="12"/>
      <c r="V89" s="12"/>
      <c r="W89" s="12"/>
    </row>
    <row r="90" spans="1:23">
      <c r="A90" s="12"/>
      <c r="B90" s="12"/>
      <c r="C90" s="12"/>
      <c r="D90" s="12"/>
      <c r="E90" s="12"/>
      <c r="F90" s="12"/>
      <c r="G90" s="12"/>
      <c r="H90" s="12"/>
      <c r="I90" s="12"/>
      <c r="J90" s="12"/>
      <c r="K90" s="12"/>
      <c r="L90" s="12"/>
      <c r="M90" s="12"/>
      <c r="N90" s="12"/>
      <c r="O90" s="12"/>
      <c r="P90" s="12"/>
      <c r="Q90" s="12"/>
      <c r="R90" s="12"/>
      <c r="S90" s="12"/>
      <c r="T90" s="12"/>
      <c r="U90" s="12"/>
      <c r="V90" s="12"/>
      <c r="W90" s="12"/>
    </row>
    <row r="91" spans="1:23">
      <c r="A91" s="12"/>
      <c r="B91" s="12"/>
      <c r="C91" s="12"/>
      <c r="D91" s="12"/>
      <c r="E91" s="12"/>
      <c r="F91" s="12"/>
      <c r="G91" s="12"/>
      <c r="H91" s="12"/>
      <c r="I91" s="12"/>
      <c r="J91" s="12"/>
      <c r="K91" s="12"/>
      <c r="L91" s="12"/>
      <c r="M91" s="12"/>
      <c r="N91" s="12"/>
      <c r="O91" s="12"/>
      <c r="P91" s="12"/>
      <c r="Q91" s="12"/>
      <c r="R91" s="12"/>
      <c r="S91" s="12"/>
      <c r="T91" s="12"/>
      <c r="U91" s="12"/>
      <c r="V91" s="12"/>
      <c r="W91" s="12"/>
    </row>
    <row r="92" spans="1:23">
      <c r="A92" s="12"/>
      <c r="B92" s="12"/>
      <c r="C92" s="12"/>
      <c r="D92" s="12"/>
      <c r="E92" s="12"/>
      <c r="F92" s="12"/>
      <c r="G92" s="12"/>
      <c r="H92" s="12"/>
      <c r="I92" s="12"/>
      <c r="J92" s="12"/>
      <c r="K92" s="12"/>
      <c r="L92" s="12"/>
      <c r="M92" s="12"/>
      <c r="N92" s="12"/>
      <c r="O92" s="12"/>
      <c r="P92" s="12"/>
      <c r="Q92" s="12"/>
      <c r="R92" s="12"/>
      <c r="S92" s="12"/>
      <c r="T92" s="12"/>
      <c r="U92" s="12"/>
      <c r="V92" s="12"/>
      <c r="W92" s="12"/>
    </row>
    <row r="93" spans="1:23">
      <c r="A93" s="12"/>
      <c r="B93" s="12"/>
      <c r="C93" s="12"/>
      <c r="D93" s="12"/>
      <c r="E93" s="12"/>
      <c r="F93" s="12"/>
      <c r="G93" s="12"/>
      <c r="H93" s="12"/>
      <c r="I93" s="12"/>
      <c r="J93" s="12"/>
      <c r="K93" s="12"/>
      <c r="L93" s="12"/>
      <c r="M93" s="12"/>
      <c r="N93" s="12"/>
      <c r="O93" s="12"/>
      <c r="P93" s="12"/>
      <c r="Q93" s="12"/>
      <c r="R93" s="12"/>
      <c r="S93" s="12"/>
      <c r="T93" s="12"/>
      <c r="U93" s="12"/>
      <c r="V93" s="12"/>
      <c r="W93" s="12"/>
    </row>
    <row r="94" spans="1:23">
      <c r="A94" s="12"/>
      <c r="B94" s="12"/>
      <c r="C94" s="12"/>
      <c r="D94" s="12"/>
      <c r="E94" s="12"/>
      <c r="F94" s="12"/>
      <c r="G94" s="12"/>
      <c r="H94" s="12"/>
      <c r="I94" s="12"/>
      <c r="J94" s="12"/>
      <c r="K94" s="12"/>
      <c r="L94" s="12"/>
      <c r="M94" s="12"/>
      <c r="N94" s="12"/>
      <c r="O94" s="12"/>
      <c r="P94" s="12"/>
      <c r="Q94" s="12"/>
      <c r="R94" s="12"/>
      <c r="S94" s="12"/>
      <c r="T94" s="12"/>
      <c r="U94" s="12"/>
      <c r="V94" s="12"/>
      <c r="W94" s="12"/>
    </row>
    <row r="95" spans="1:23">
      <c r="A95" s="12"/>
      <c r="B95" s="12"/>
      <c r="C95" s="12"/>
      <c r="D95" s="12"/>
      <c r="E95" s="12"/>
      <c r="F95" s="12"/>
      <c r="G95" s="12"/>
      <c r="H95" s="12"/>
      <c r="I95" s="12"/>
      <c r="J95" s="12"/>
      <c r="K95" s="12"/>
      <c r="L95" s="12"/>
      <c r="M95" s="12"/>
      <c r="N95" s="12"/>
      <c r="O95" s="12"/>
      <c r="P95" s="12"/>
      <c r="Q95" s="12"/>
      <c r="R95" s="12"/>
      <c r="S95" s="12"/>
      <c r="T95" s="12"/>
      <c r="U95" s="12"/>
      <c r="V95" s="12"/>
      <c r="W95" s="12"/>
    </row>
    <row r="96" spans="1:23">
      <c r="A96" s="12"/>
      <c r="B96" s="12"/>
      <c r="C96" s="12"/>
      <c r="D96" s="12"/>
      <c r="E96" s="12"/>
      <c r="F96" s="12"/>
      <c r="G96" s="12"/>
      <c r="H96" s="12"/>
      <c r="I96" s="12"/>
      <c r="J96" s="12"/>
      <c r="K96" s="12"/>
      <c r="L96" s="12"/>
      <c r="M96" s="12"/>
      <c r="N96" s="12"/>
      <c r="O96" s="12"/>
      <c r="P96" s="12"/>
      <c r="Q96" s="12"/>
      <c r="R96" s="12"/>
      <c r="S96" s="12"/>
      <c r="T96" s="12"/>
      <c r="U96" s="12"/>
      <c r="V96" s="12"/>
      <c r="W96" s="12"/>
    </row>
    <row r="97" spans="1:23">
      <c r="A97" s="12"/>
      <c r="B97" s="12"/>
      <c r="C97" s="12"/>
      <c r="D97" s="12"/>
      <c r="E97" s="12"/>
      <c r="F97" s="12"/>
      <c r="G97" s="12"/>
      <c r="H97" s="12"/>
      <c r="I97" s="12"/>
      <c r="J97" s="12"/>
      <c r="K97" s="12"/>
      <c r="L97" s="12"/>
      <c r="M97" s="12"/>
      <c r="N97" s="12"/>
      <c r="O97" s="12"/>
      <c r="P97" s="12"/>
      <c r="Q97" s="12"/>
      <c r="R97" s="12"/>
      <c r="S97" s="12"/>
      <c r="T97" s="12"/>
      <c r="U97" s="12"/>
      <c r="V97" s="12"/>
      <c r="W97" s="12"/>
    </row>
    <row r="98" spans="1:23">
      <c r="A98" s="12"/>
      <c r="B98" s="12"/>
      <c r="C98" s="12"/>
      <c r="D98" s="12"/>
      <c r="E98" s="12"/>
      <c r="F98" s="12"/>
      <c r="G98" s="12"/>
      <c r="H98" s="12"/>
      <c r="I98" s="12"/>
      <c r="J98" s="12"/>
      <c r="K98" s="12"/>
      <c r="L98" s="12"/>
      <c r="M98" s="12"/>
      <c r="N98" s="12"/>
      <c r="O98" s="12"/>
      <c r="P98" s="12"/>
      <c r="Q98" s="12"/>
      <c r="R98" s="12"/>
      <c r="S98" s="12"/>
      <c r="T98" s="12"/>
      <c r="U98" s="12"/>
      <c r="V98" s="12"/>
      <c r="W98" s="12"/>
    </row>
    <row r="99" spans="1:23">
      <c r="A99" s="12"/>
      <c r="B99" s="12"/>
      <c r="C99" s="12"/>
      <c r="D99" s="12"/>
      <c r="E99" s="12"/>
      <c r="F99" s="12"/>
      <c r="G99" s="12"/>
      <c r="H99" s="12"/>
      <c r="I99" s="12"/>
      <c r="J99" s="12"/>
      <c r="K99" s="12"/>
      <c r="L99" s="12"/>
      <c r="M99" s="12"/>
      <c r="N99" s="12"/>
      <c r="O99" s="12"/>
      <c r="P99" s="12"/>
      <c r="Q99" s="12"/>
      <c r="R99" s="12"/>
      <c r="S99" s="12"/>
      <c r="T99" s="12"/>
      <c r="U99" s="12"/>
      <c r="V99" s="12"/>
      <c r="W99" s="12"/>
    </row>
    <row r="100" spans="1:23">
      <c r="A100" s="12"/>
      <c r="B100" s="12"/>
      <c r="C100" s="12"/>
      <c r="D100" s="12"/>
      <c r="E100" s="12"/>
      <c r="F100" s="12"/>
      <c r="G100" s="12"/>
      <c r="H100" s="12"/>
      <c r="I100" s="12"/>
      <c r="J100" s="12"/>
      <c r="K100" s="12"/>
      <c r="L100" s="12"/>
      <c r="M100" s="12"/>
      <c r="N100" s="12"/>
      <c r="O100" s="12"/>
      <c r="P100" s="12"/>
      <c r="Q100" s="12"/>
      <c r="R100" s="12"/>
      <c r="S100" s="12"/>
      <c r="T100" s="12"/>
      <c r="U100" s="12"/>
      <c r="V100" s="12"/>
      <c r="W100" s="12"/>
    </row>
    <row r="101" spans="1:23">
      <c r="A101" s="12"/>
      <c r="B101" s="12"/>
      <c r="C101" s="12"/>
      <c r="D101" s="12"/>
      <c r="E101" s="12"/>
      <c r="F101" s="12"/>
      <c r="G101" s="12"/>
      <c r="H101" s="12"/>
      <c r="I101" s="12"/>
      <c r="J101" s="12"/>
      <c r="K101" s="12"/>
      <c r="L101" s="12"/>
      <c r="M101" s="12"/>
      <c r="N101" s="12"/>
      <c r="O101" s="12"/>
      <c r="P101" s="12"/>
      <c r="Q101" s="12"/>
      <c r="R101" s="12"/>
      <c r="S101" s="12"/>
      <c r="T101" s="12"/>
      <c r="U101" s="12"/>
      <c r="V101" s="12"/>
      <c r="W101" s="12"/>
    </row>
    <row r="102" spans="1:23">
      <c r="A102" s="12"/>
      <c r="B102" s="12"/>
      <c r="C102" s="12"/>
      <c r="D102" s="12"/>
      <c r="E102" s="12"/>
      <c r="F102" s="12"/>
      <c r="G102" s="12"/>
      <c r="H102" s="12"/>
      <c r="I102" s="12"/>
      <c r="J102" s="12"/>
      <c r="K102" s="12"/>
      <c r="L102" s="12"/>
      <c r="M102" s="12"/>
      <c r="N102" s="12"/>
      <c r="O102" s="12"/>
      <c r="P102" s="12"/>
      <c r="Q102" s="12"/>
      <c r="R102" s="12"/>
      <c r="S102" s="12"/>
      <c r="T102" s="12"/>
      <c r="U102" s="12"/>
      <c r="V102" s="12"/>
      <c r="W102" s="12"/>
    </row>
    <row r="103" spans="1:23">
      <c r="A103" s="12"/>
      <c r="B103" s="12"/>
      <c r="C103" s="12"/>
      <c r="D103" s="12"/>
      <c r="E103" s="12"/>
      <c r="F103" s="12"/>
      <c r="G103" s="12"/>
      <c r="H103" s="12"/>
      <c r="I103" s="12"/>
      <c r="J103" s="12"/>
      <c r="K103" s="12"/>
      <c r="L103" s="12"/>
      <c r="M103" s="12"/>
      <c r="N103" s="12"/>
      <c r="O103" s="12"/>
      <c r="P103" s="12"/>
      <c r="Q103" s="12"/>
      <c r="R103" s="12"/>
      <c r="S103" s="12"/>
      <c r="T103" s="12"/>
      <c r="U103" s="12"/>
      <c r="V103" s="12"/>
      <c r="W103" s="12"/>
    </row>
    <row r="104" spans="1:23">
      <c r="A104" s="12"/>
      <c r="B104" s="12"/>
      <c r="C104" s="12"/>
      <c r="D104" s="12"/>
      <c r="E104" s="12"/>
      <c r="F104" s="12"/>
      <c r="G104" s="12"/>
      <c r="H104" s="12"/>
      <c r="I104" s="12"/>
      <c r="J104" s="12"/>
      <c r="K104" s="12"/>
      <c r="L104" s="12"/>
      <c r="M104" s="12"/>
      <c r="N104" s="12"/>
      <c r="O104" s="12"/>
      <c r="P104" s="12"/>
      <c r="Q104" s="12"/>
      <c r="R104" s="12"/>
      <c r="S104" s="12"/>
      <c r="T104" s="12"/>
      <c r="U104" s="12"/>
      <c r="V104" s="12"/>
      <c r="W104" s="12"/>
    </row>
    <row r="105" spans="1:23">
      <c r="A105" s="12"/>
      <c r="B105" s="12"/>
      <c r="C105" s="12"/>
      <c r="D105" s="12"/>
      <c r="E105" s="12"/>
      <c r="F105" s="12"/>
      <c r="G105" s="12"/>
      <c r="H105" s="12"/>
      <c r="I105" s="12"/>
      <c r="J105" s="12"/>
      <c r="K105" s="12"/>
      <c r="L105" s="12"/>
      <c r="M105" s="12"/>
      <c r="N105" s="12"/>
      <c r="O105" s="12"/>
      <c r="P105" s="12"/>
      <c r="Q105" s="12"/>
      <c r="R105" s="12"/>
      <c r="S105" s="12"/>
      <c r="T105" s="12"/>
      <c r="U105" s="12"/>
      <c r="V105" s="12"/>
      <c r="W105" s="12"/>
    </row>
    <row r="106" spans="1:23">
      <c r="A106" s="12"/>
      <c r="B106" s="12"/>
      <c r="C106" s="12"/>
      <c r="D106" s="12"/>
      <c r="E106" s="12"/>
      <c r="F106" s="12"/>
      <c r="G106" s="12"/>
      <c r="H106" s="12"/>
      <c r="I106" s="12"/>
      <c r="J106" s="12"/>
      <c r="K106" s="12"/>
      <c r="L106" s="12"/>
      <c r="M106" s="12"/>
      <c r="N106" s="12"/>
      <c r="O106" s="12"/>
      <c r="P106" s="12"/>
      <c r="Q106" s="12"/>
      <c r="R106" s="12"/>
      <c r="S106" s="12"/>
      <c r="T106" s="12"/>
      <c r="U106" s="12"/>
      <c r="V106" s="12"/>
      <c r="W106" s="12"/>
    </row>
    <row r="107" spans="1:23">
      <c r="A107" s="12"/>
      <c r="B107" s="12"/>
      <c r="C107" s="12"/>
      <c r="D107" s="12"/>
      <c r="E107" s="12"/>
      <c r="F107" s="12"/>
      <c r="G107" s="12"/>
      <c r="H107" s="12"/>
      <c r="I107" s="12"/>
      <c r="J107" s="12"/>
      <c r="K107" s="12"/>
      <c r="L107" s="12"/>
      <c r="M107" s="12"/>
      <c r="N107" s="12"/>
      <c r="O107" s="12"/>
      <c r="P107" s="12"/>
      <c r="Q107" s="12"/>
      <c r="R107" s="12"/>
      <c r="S107" s="12"/>
      <c r="T107" s="12"/>
      <c r="U107" s="12"/>
      <c r="V107" s="12"/>
      <c r="W107" s="12"/>
    </row>
    <row r="108" spans="1:23">
      <c r="A108" s="12"/>
      <c r="B108" s="12"/>
      <c r="C108" s="12"/>
      <c r="D108" s="12"/>
      <c r="E108" s="12"/>
      <c r="F108" s="12"/>
      <c r="G108" s="12"/>
      <c r="H108" s="12"/>
      <c r="I108" s="12"/>
      <c r="J108" s="12"/>
      <c r="K108" s="12"/>
      <c r="L108" s="12"/>
      <c r="M108" s="12"/>
      <c r="N108" s="12"/>
      <c r="O108" s="12"/>
      <c r="P108" s="12"/>
      <c r="Q108" s="12"/>
      <c r="R108" s="12"/>
      <c r="S108" s="12"/>
      <c r="T108" s="12"/>
      <c r="U108" s="12"/>
      <c r="V108" s="12"/>
      <c r="W108" s="12"/>
    </row>
    <row r="109" spans="1:23">
      <c r="A109" s="12"/>
      <c r="B109" s="12"/>
      <c r="C109" s="12"/>
      <c r="D109" s="12"/>
      <c r="E109" s="12"/>
      <c r="F109" s="12"/>
      <c r="G109" s="12"/>
      <c r="H109" s="12"/>
      <c r="I109" s="12"/>
      <c r="J109" s="12"/>
      <c r="K109" s="12"/>
      <c r="L109" s="12"/>
      <c r="M109" s="12"/>
      <c r="N109" s="12"/>
      <c r="O109" s="12"/>
      <c r="P109" s="12"/>
      <c r="Q109" s="12"/>
      <c r="R109" s="12"/>
      <c r="S109" s="12"/>
      <c r="T109" s="12"/>
      <c r="U109" s="12"/>
      <c r="V109" s="12"/>
      <c r="W109" s="12"/>
    </row>
    <row r="110" spans="1:23">
      <c r="A110" s="12"/>
      <c r="B110" s="12"/>
      <c r="C110" s="12"/>
      <c r="D110" s="12"/>
      <c r="E110" s="12"/>
      <c r="F110" s="12"/>
      <c r="G110" s="12"/>
      <c r="H110" s="12"/>
      <c r="I110" s="12"/>
      <c r="J110" s="12"/>
      <c r="K110" s="12"/>
      <c r="L110" s="12"/>
      <c r="M110" s="12"/>
      <c r="N110" s="12"/>
      <c r="O110" s="12"/>
      <c r="P110" s="12"/>
      <c r="Q110" s="12"/>
      <c r="R110" s="12"/>
      <c r="S110" s="12"/>
      <c r="T110" s="12"/>
      <c r="U110" s="12"/>
      <c r="V110" s="12"/>
      <c r="W110" s="12"/>
    </row>
    <row r="111" spans="1:23">
      <c r="A111" s="12"/>
      <c r="B111" s="12"/>
      <c r="C111" s="12"/>
      <c r="D111" s="12"/>
      <c r="E111" s="12"/>
      <c r="F111" s="12"/>
      <c r="G111" s="12"/>
      <c r="H111" s="12"/>
      <c r="I111" s="12"/>
      <c r="J111" s="12"/>
      <c r="K111" s="12"/>
      <c r="L111" s="12"/>
      <c r="M111" s="12"/>
      <c r="N111" s="12"/>
      <c r="O111" s="12"/>
      <c r="P111" s="12"/>
      <c r="Q111" s="12"/>
      <c r="R111" s="12"/>
      <c r="S111" s="12"/>
      <c r="T111" s="12"/>
      <c r="U111" s="12"/>
      <c r="V111" s="12"/>
      <c r="W111" s="12"/>
    </row>
    <row r="112" spans="1:23">
      <c r="A112" s="12"/>
      <c r="B112" s="12"/>
      <c r="C112" s="12"/>
      <c r="D112" s="12"/>
      <c r="E112" s="12"/>
      <c r="F112" s="12"/>
      <c r="G112" s="12"/>
      <c r="H112" s="12"/>
      <c r="I112" s="12"/>
      <c r="J112" s="12"/>
      <c r="K112" s="12"/>
      <c r="L112" s="12"/>
      <c r="M112" s="12"/>
      <c r="N112" s="12"/>
      <c r="O112" s="12"/>
      <c r="P112" s="12"/>
      <c r="Q112" s="12"/>
      <c r="R112" s="12"/>
      <c r="S112" s="12"/>
      <c r="T112" s="12"/>
      <c r="U112" s="12"/>
      <c r="V112" s="12"/>
      <c r="W112" s="12"/>
    </row>
    <row r="113" spans="1:23">
      <c r="A113" s="12"/>
      <c r="B113" s="12"/>
      <c r="C113" s="12"/>
      <c r="D113" s="12"/>
      <c r="E113" s="12"/>
      <c r="F113" s="12"/>
      <c r="G113" s="12"/>
      <c r="H113" s="12"/>
      <c r="I113" s="12"/>
      <c r="J113" s="12"/>
      <c r="K113" s="12"/>
      <c r="L113" s="12"/>
      <c r="M113" s="12"/>
      <c r="N113" s="12"/>
      <c r="O113" s="12"/>
      <c r="P113" s="12"/>
      <c r="Q113" s="12"/>
      <c r="R113" s="12"/>
      <c r="S113" s="12"/>
      <c r="T113" s="12"/>
      <c r="U113" s="12"/>
      <c r="V113" s="12"/>
      <c r="W113" s="12"/>
    </row>
    <row r="114" spans="1:23">
      <c r="A114" s="12"/>
      <c r="B114" s="12"/>
      <c r="C114" s="12"/>
      <c r="D114" s="12"/>
      <c r="E114" s="12"/>
      <c r="F114" s="12"/>
      <c r="G114" s="12"/>
      <c r="H114" s="12"/>
      <c r="I114" s="12"/>
      <c r="J114" s="12"/>
      <c r="K114" s="12"/>
      <c r="L114" s="12"/>
      <c r="M114" s="12"/>
      <c r="N114" s="12"/>
      <c r="O114" s="12"/>
      <c r="P114" s="12"/>
      <c r="Q114" s="12"/>
      <c r="R114" s="12"/>
      <c r="S114" s="12"/>
      <c r="T114" s="12"/>
      <c r="U114" s="12"/>
      <c r="V114" s="12"/>
      <c r="W114" s="12"/>
    </row>
    <row r="115" spans="1:23">
      <c r="A115" s="12"/>
      <c r="B115" s="12"/>
      <c r="C115" s="12"/>
      <c r="D115" s="12"/>
      <c r="E115" s="12"/>
      <c r="F115" s="12"/>
      <c r="G115" s="12"/>
      <c r="H115" s="12"/>
      <c r="I115" s="12"/>
      <c r="J115" s="12"/>
      <c r="K115" s="12"/>
      <c r="L115" s="12"/>
      <c r="M115" s="12"/>
      <c r="N115" s="12"/>
      <c r="O115" s="12"/>
      <c r="P115" s="12"/>
      <c r="Q115" s="12"/>
      <c r="R115" s="12"/>
      <c r="S115" s="12"/>
      <c r="T115" s="12"/>
      <c r="U115" s="12"/>
      <c r="V115" s="12"/>
      <c r="W115" s="12"/>
    </row>
    <row r="116" spans="1:23">
      <c r="A116" s="12"/>
      <c r="B116" s="12"/>
      <c r="C116" s="12"/>
      <c r="D116" s="12"/>
      <c r="E116" s="12"/>
      <c r="F116" s="12"/>
      <c r="G116" s="12"/>
      <c r="H116" s="12"/>
      <c r="I116" s="12"/>
      <c r="J116" s="12"/>
      <c r="K116" s="12"/>
      <c r="L116" s="12"/>
      <c r="M116" s="12"/>
      <c r="N116" s="12"/>
      <c r="O116" s="12"/>
      <c r="P116" s="12"/>
      <c r="Q116" s="12"/>
      <c r="R116" s="12"/>
      <c r="S116" s="12"/>
      <c r="T116" s="12"/>
      <c r="U116" s="12"/>
      <c r="V116" s="12"/>
      <c r="W116" s="12"/>
    </row>
    <row r="117" spans="1:23">
      <c r="A117" s="12"/>
      <c r="B117" s="12"/>
      <c r="C117" s="12"/>
      <c r="D117" s="12"/>
      <c r="E117" s="12"/>
      <c r="F117" s="12"/>
      <c r="G117" s="12"/>
      <c r="H117" s="12"/>
      <c r="I117" s="12"/>
      <c r="J117" s="12"/>
      <c r="K117" s="12"/>
      <c r="L117" s="12"/>
      <c r="M117" s="12"/>
      <c r="N117" s="12"/>
      <c r="O117" s="12"/>
      <c r="P117" s="12"/>
      <c r="Q117" s="12"/>
      <c r="R117" s="12"/>
      <c r="S117" s="12"/>
      <c r="T117" s="12"/>
      <c r="U117" s="12"/>
      <c r="V117" s="12"/>
      <c r="W117" s="12"/>
    </row>
    <row r="118" spans="1:23">
      <c r="A118" s="12"/>
      <c r="B118" s="12"/>
      <c r="C118" s="12"/>
      <c r="D118" s="12"/>
      <c r="E118" s="12"/>
      <c r="F118" s="12"/>
      <c r="G118" s="12"/>
      <c r="H118" s="12"/>
      <c r="I118" s="12"/>
      <c r="J118" s="12"/>
      <c r="K118" s="12"/>
      <c r="L118" s="12"/>
      <c r="M118" s="12"/>
      <c r="N118" s="12"/>
      <c r="O118" s="12"/>
      <c r="P118" s="12"/>
      <c r="Q118" s="12"/>
      <c r="R118" s="12"/>
      <c r="S118" s="12"/>
      <c r="T118" s="12"/>
      <c r="U118" s="12"/>
      <c r="V118" s="12"/>
      <c r="W118" s="12"/>
    </row>
    <row r="119" spans="1:23">
      <c r="A119" s="12"/>
      <c r="B119" s="12"/>
      <c r="C119" s="12"/>
      <c r="D119" s="12"/>
      <c r="E119" s="12"/>
      <c r="F119" s="12"/>
      <c r="G119" s="12"/>
      <c r="H119" s="12"/>
      <c r="I119" s="12"/>
      <c r="J119" s="12"/>
      <c r="K119" s="12"/>
      <c r="L119" s="12"/>
      <c r="M119" s="12"/>
      <c r="N119" s="12"/>
      <c r="O119" s="12"/>
      <c r="P119" s="12"/>
      <c r="Q119" s="12"/>
      <c r="R119" s="12"/>
      <c r="S119" s="12"/>
      <c r="T119" s="12"/>
      <c r="U119" s="12"/>
      <c r="V119" s="12"/>
      <c r="W119" s="12"/>
    </row>
    <row r="120" spans="1:23">
      <c r="A120" s="12"/>
      <c r="B120" s="12"/>
      <c r="C120" s="12"/>
      <c r="D120" s="12"/>
      <c r="E120" s="12"/>
      <c r="F120" s="12"/>
      <c r="G120" s="12"/>
      <c r="H120" s="12"/>
      <c r="I120" s="12"/>
      <c r="J120" s="12"/>
      <c r="K120" s="12"/>
      <c r="L120" s="12"/>
      <c r="M120" s="12"/>
      <c r="N120" s="12"/>
      <c r="O120" s="12"/>
      <c r="P120" s="12"/>
      <c r="Q120" s="12"/>
      <c r="R120" s="12"/>
      <c r="S120" s="12"/>
      <c r="T120" s="12"/>
      <c r="U120" s="12"/>
      <c r="V120" s="12"/>
      <c r="W120" s="12"/>
    </row>
    <row r="121" spans="1:23">
      <c r="A121" s="12"/>
      <c r="B121" s="12"/>
      <c r="C121" s="12"/>
      <c r="D121" s="12"/>
      <c r="E121" s="12"/>
      <c r="F121" s="12"/>
      <c r="G121" s="12"/>
      <c r="H121" s="12"/>
      <c r="I121" s="12"/>
      <c r="J121" s="12"/>
      <c r="K121" s="12"/>
      <c r="L121" s="12"/>
      <c r="M121" s="12"/>
      <c r="N121" s="12"/>
      <c r="O121" s="12"/>
      <c r="P121" s="12"/>
      <c r="Q121" s="12"/>
      <c r="R121" s="12"/>
      <c r="S121" s="12"/>
      <c r="T121" s="12"/>
      <c r="U121" s="12"/>
      <c r="V121" s="12"/>
      <c r="W121" s="12"/>
    </row>
    <row r="122" spans="1:23">
      <c r="A122" s="12"/>
      <c r="B122" s="12"/>
      <c r="C122" s="12"/>
      <c r="D122" s="12"/>
      <c r="E122" s="12"/>
      <c r="F122" s="12"/>
      <c r="G122" s="12"/>
      <c r="H122" s="12"/>
      <c r="I122" s="12"/>
      <c r="J122" s="12"/>
      <c r="K122" s="12"/>
      <c r="L122" s="12"/>
      <c r="M122" s="12"/>
      <c r="N122" s="12"/>
      <c r="O122" s="12"/>
      <c r="P122" s="12"/>
      <c r="Q122" s="12"/>
      <c r="R122" s="12"/>
      <c r="S122" s="12"/>
      <c r="T122" s="12"/>
      <c r="U122" s="12"/>
      <c r="V122" s="12"/>
      <c r="W122" s="12"/>
    </row>
    <row r="123" spans="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row>
    <row r="124" spans="1:23">
      <c r="A124" s="12"/>
      <c r="B124" s="12"/>
      <c r="C124" s="12"/>
      <c r="D124" s="12"/>
      <c r="E124" s="12"/>
      <c r="F124" s="12"/>
      <c r="G124" s="12"/>
      <c r="H124" s="12"/>
      <c r="I124" s="12"/>
      <c r="J124" s="12"/>
      <c r="K124" s="12"/>
      <c r="L124" s="12"/>
      <c r="M124" s="12"/>
      <c r="N124" s="12"/>
      <c r="O124" s="12"/>
      <c r="P124" s="12"/>
      <c r="Q124" s="12"/>
      <c r="R124" s="12"/>
      <c r="S124" s="12"/>
      <c r="T124" s="12"/>
      <c r="U124" s="12"/>
      <c r="V124" s="12"/>
      <c r="W124" s="12"/>
    </row>
    <row r="125" spans="1:23">
      <c r="A125" s="12"/>
      <c r="B125" s="12"/>
      <c r="C125" s="12"/>
      <c r="D125" s="12"/>
      <c r="E125" s="12"/>
      <c r="F125" s="12"/>
      <c r="G125" s="12"/>
      <c r="H125" s="12"/>
      <c r="I125" s="12"/>
      <c r="J125" s="12"/>
      <c r="K125" s="12"/>
      <c r="L125" s="12"/>
      <c r="M125" s="12"/>
      <c r="N125" s="12"/>
      <c r="O125" s="12"/>
      <c r="P125" s="12"/>
      <c r="Q125" s="12"/>
      <c r="R125" s="12"/>
      <c r="S125" s="12"/>
      <c r="T125" s="12"/>
      <c r="U125" s="12"/>
      <c r="V125" s="12"/>
      <c r="W125" s="12"/>
    </row>
    <row r="126" spans="1:23">
      <c r="A126" s="12"/>
      <c r="B126" s="12"/>
      <c r="C126" s="12"/>
      <c r="D126" s="12"/>
      <c r="E126" s="12"/>
      <c r="F126" s="12"/>
      <c r="G126" s="12"/>
      <c r="H126" s="12"/>
      <c r="I126" s="12"/>
      <c r="J126" s="12"/>
      <c r="K126" s="12"/>
      <c r="L126" s="12"/>
      <c r="M126" s="12"/>
      <c r="N126" s="12"/>
      <c r="O126" s="12"/>
      <c r="P126" s="12"/>
      <c r="Q126" s="12"/>
      <c r="R126" s="12"/>
      <c r="S126" s="12"/>
      <c r="T126" s="12"/>
      <c r="U126" s="12"/>
      <c r="V126" s="12"/>
      <c r="W126" s="12"/>
    </row>
    <row r="127" spans="1:23">
      <c r="A127" s="12"/>
      <c r="B127" s="12"/>
      <c r="C127" s="12"/>
      <c r="D127" s="12"/>
      <c r="E127" s="12"/>
      <c r="F127" s="12"/>
      <c r="G127" s="12"/>
      <c r="H127" s="12"/>
      <c r="I127" s="12"/>
      <c r="J127" s="12"/>
      <c r="K127" s="12"/>
      <c r="L127" s="12"/>
      <c r="M127" s="12"/>
      <c r="N127" s="12"/>
      <c r="O127" s="12"/>
      <c r="P127" s="12"/>
      <c r="Q127" s="12"/>
      <c r="R127" s="12"/>
      <c r="S127" s="12"/>
      <c r="T127" s="12"/>
      <c r="U127" s="12"/>
      <c r="V127" s="12"/>
      <c r="W127" s="12"/>
    </row>
    <row r="128" spans="1:23">
      <c r="A128" s="12"/>
      <c r="B128" s="12"/>
      <c r="C128" s="12"/>
      <c r="D128" s="12"/>
      <c r="E128" s="12"/>
      <c r="F128" s="12"/>
      <c r="G128" s="12"/>
      <c r="H128" s="12"/>
      <c r="I128" s="12"/>
      <c r="J128" s="12"/>
      <c r="K128" s="12"/>
      <c r="L128" s="12"/>
      <c r="M128" s="12"/>
      <c r="N128" s="12"/>
      <c r="O128" s="12"/>
      <c r="P128" s="12"/>
      <c r="Q128" s="12"/>
      <c r="R128" s="12"/>
      <c r="S128" s="12"/>
      <c r="T128" s="12"/>
      <c r="U128" s="12"/>
      <c r="V128" s="12"/>
      <c r="W128" s="12"/>
    </row>
    <row r="129" spans="1:23">
      <c r="A129" s="12"/>
      <c r="B129" s="12"/>
      <c r="C129" s="12"/>
      <c r="D129" s="12"/>
      <c r="E129" s="12"/>
      <c r="F129" s="12"/>
      <c r="G129" s="12"/>
      <c r="H129" s="12"/>
      <c r="I129" s="12"/>
      <c r="J129" s="12"/>
      <c r="K129" s="12"/>
      <c r="L129" s="12"/>
      <c r="M129" s="12"/>
      <c r="N129" s="12"/>
      <c r="O129" s="12"/>
      <c r="P129" s="12"/>
      <c r="Q129" s="12"/>
      <c r="R129" s="12"/>
      <c r="S129" s="12"/>
      <c r="T129" s="12"/>
      <c r="U129" s="12"/>
      <c r="V129" s="12"/>
      <c r="W129" s="12"/>
    </row>
    <row r="130" spans="1:23">
      <c r="A130" s="12"/>
      <c r="B130" s="12"/>
      <c r="C130" s="12"/>
      <c r="D130" s="12"/>
      <c r="E130" s="12"/>
      <c r="F130" s="12"/>
      <c r="G130" s="12"/>
      <c r="H130" s="12"/>
      <c r="I130" s="12"/>
      <c r="J130" s="12"/>
      <c r="K130" s="12"/>
      <c r="L130" s="12"/>
      <c r="M130" s="12"/>
      <c r="N130" s="12"/>
      <c r="O130" s="12"/>
      <c r="P130" s="12"/>
      <c r="Q130" s="12"/>
      <c r="R130" s="12"/>
      <c r="S130" s="12"/>
      <c r="T130" s="12"/>
      <c r="U130" s="12"/>
      <c r="V130" s="12"/>
      <c r="W130" s="12"/>
    </row>
    <row r="131" spans="1:23">
      <c r="A131" s="12"/>
      <c r="B131" s="12"/>
      <c r="C131" s="12"/>
      <c r="D131" s="12"/>
      <c r="E131" s="12"/>
      <c r="F131" s="12"/>
      <c r="G131" s="12"/>
      <c r="H131" s="12"/>
      <c r="I131" s="12"/>
      <c r="J131" s="12"/>
      <c r="K131" s="12"/>
      <c r="L131" s="12"/>
      <c r="M131" s="12"/>
      <c r="N131" s="12"/>
      <c r="O131" s="12"/>
      <c r="P131" s="12"/>
      <c r="Q131" s="12"/>
      <c r="R131" s="12"/>
      <c r="S131" s="12"/>
      <c r="T131" s="12"/>
      <c r="U131" s="12"/>
      <c r="V131" s="12"/>
      <c r="W131" s="12"/>
    </row>
    <row r="132" spans="1:23">
      <c r="A132" s="12"/>
      <c r="B132" s="12"/>
      <c r="C132" s="12"/>
      <c r="D132" s="12"/>
      <c r="E132" s="12"/>
      <c r="F132" s="12"/>
      <c r="G132" s="12"/>
      <c r="H132" s="12"/>
      <c r="I132" s="12"/>
      <c r="J132" s="12"/>
      <c r="K132" s="12"/>
      <c r="L132" s="12"/>
      <c r="M132" s="12"/>
      <c r="N132" s="12"/>
      <c r="O132" s="12"/>
      <c r="P132" s="12"/>
      <c r="Q132" s="12"/>
      <c r="R132" s="12"/>
      <c r="S132" s="12"/>
      <c r="T132" s="12"/>
      <c r="U132" s="12"/>
      <c r="V132" s="12"/>
      <c r="W132" s="12"/>
    </row>
    <row r="133" spans="1:23">
      <c r="A133" s="12"/>
      <c r="B133" s="12"/>
      <c r="C133" s="12"/>
      <c r="D133" s="12"/>
      <c r="E133" s="12"/>
      <c r="F133" s="12"/>
      <c r="G133" s="12"/>
      <c r="H133" s="12"/>
      <c r="I133" s="12"/>
      <c r="J133" s="12"/>
      <c r="K133" s="12"/>
      <c r="L133" s="12"/>
      <c r="M133" s="12"/>
      <c r="N133" s="12"/>
      <c r="O133" s="12"/>
      <c r="P133" s="12"/>
      <c r="Q133" s="12"/>
      <c r="R133" s="12"/>
      <c r="S133" s="12"/>
      <c r="T133" s="12"/>
      <c r="U133" s="12"/>
      <c r="V133" s="12"/>
      <c r="W133" s="12"/>
    </row>
    <row r="134" spans="1:23">
      <c r="A134" s="12"/>
      <c r="B134" s="12"/>
      <c r="C134" s="12"/>
      <c r="D134" s="12"/>
      <c r="E134" s="12"/>
      <c r="F134" s="12"/>
      <c r="G134" s="12"/>
      <c r="H134" s="12"/>
      <c r="I134" s="12"/>
      <c r="J134" s="12"/>
      <c r="K134" s="12"/>
      <c r="L134" s="12"/>
      <c r="M134" s="12"/>
      <c r="N134" s="12"/>
      <c r="O134" s="12"/>
      <c r="P134" s="12"/>
      <c r="Q134" s="12"/>
      <c r="R134" s="12"/>
      <c r="S134" s="12"/>
      <c r="T134" s="12"/>
      <c r="U134" s="12"/>
      <c r="V134" s="12"/>
      <c r="W134" s="12"/>
    </row>
    <row r="135" spans="1:23">
      <c r="A135" s="12"/>
      <c r="B135" s="12"/>
      <c r="C135" s="12"/>
      <c r="D135" s="12"/>
      <c r="E135" s="12"/>
      <c r="F135" s="12"/>
      <c r="G135" s="12"/>
      <c r="H135" s="12"/>
      <c r="I135" s="12"/>
      <c r="J135" s="12"/>
      <c r="K135" s="12"/>
      <c r="L135" s="12"/>
      <c r="M135" s="12"/>
      <c r="N135" s="12"/>
      <c r="O135" s="12"/>
      <c r="P135" s="12"/>
      <c r="Q135" s="12"/>
      <c r="R135" s="12"/>
      <c r="S135" s="12"/>
      <c r="T135" s="12"/>
      <c r="U135" s="12"/>
      <c r="V135" s="12"/>
      <c r="W135" s="12"/>
    </row>
    <row r="136" spans="1:23">
      <c r="A136" s="12"/>
      <c r="B136" s="12"/>
      <c r="C136" s="12"/>
      <c r="D136" s="12"/>
      <c r="E136" s="12"/>
      <c r="F136" s="12"/>
      <c r="G136" s="12"/>
      <c r="H136" s="12"/>
      <c r="I136" s="12"/>
      <c r="J136" s="12"/>
      <c r="K136" s="12"/>
      <c r="L136" s="12"/>
      <c r="M136" s="12"/>
      <c r="N136" s="12"/>
      <c r="O136" s="12"/>
      <c r="P136" s="12"/>
      <c r="Q136" s="12"/>
      <c r="R136" s="12"/>
      <c r="S136" s="12"/>
      <c r="T136" s="12"/>
      <c r="U136" s="12"/>
      <c r="V136" s="12"/>
      <c r="W136" s="12"/>
    </row>
    <row r="137" spans="1:23">
      <c r="A137" s="12"/>
      <c r="B137" s="12"/>
      <c r="C137" s="12"/>
      <c r="D137" s="12"/>
      <c r="E137" s="12"/>
      <c r="F137" s="12"/>
      <c r="G137" s="12"/>
      <c r="H137" s="12"/>
      <c r="I137" s="12"/>
      <c r="J137" s="12"/>
      <c r="K137" s="12"/>
      <c r="L137" s="12"/>
      <c r="M137" s="12"/>
      <c r="N137" s="12"/>
      <c r="O137" s="12"/>
      <c r="P137" s="12"/>
      <c r="Q137" s="12"/>
      <c r="R137" s="12"/>
      <c r="S137" s="12"/>
      <c r="T137" s="12"/>
      <c r="U137" s="12"/>
      <c r="V137" s="12"/>
      <c r="W137" s="12"/>
    </row>
    <row r="138" spans="1:23">
      <c r="A138" s="12"/>
      <c r="B138" s="12"/>
      <c r="C138" s="12"/>
      <c r="D138" s="12"/>
      <c r="E138" s="12"/>
      <c r="F138" s="12"/>
      <c r="G138" s="12"/>
      <c r="H138" s="12"/>
      <c r="I138" s="12"/>
      <c r="J138" s="12"/>
      <c r="K138" s="12"/>
      <c r="L138" s="12"/>
      <c r="M138" s="12"/>
      <c r="N138" s="12"/>
      <c r="O138" s="12"/>
      <c r="P138" s="12"/>
      <c r="Q138" s="12"/>
      <c r="R138" s="12"/>
      <c r="S138" s="12"/>
      <c r="T138" s="12"/>
      <c r="U138" s="12"/>
      <c r="V138" s="12"/>
      <c r="W138" s="12"/>
    </row>
    <row r="139" spans="1:23">
      <c r="A139" s="12"/>
      <c r="B139" s="12"/>
      <c r="C139" s="12"/>
      <c r="D139" s="12"/>
      <c r="E139" s="12"/>
      <c r="F139" s="12"/>
      <c r="G139" s="12"/>
      <c r="H139" s="12"/>
      <c r="I139" s="12"/>
      <c r="J139" s="12"/>
      <c r="K139" s="12"/>
      <c r="L139" s="12"/>
      <c r="M139" s="12"/>
      <c r="N139" s="12"/>
      <c r="O139" s="12"/>
      <c r="P139" s="12"/>
      <c r="Q139" s="12"/>
      <c r="R139" s="12"/>
      <c r="S139" s="12"/>
      <c r="T139" s="12"/>
      <c r="U139" s="12"/>
      <c r="V139" s="12"/>
      <c r="W139" s="12"/>
    </row>
    <row r="140" spans="1:23">
      <c r="A140" s="12"/>
      <c r="B140" s="12"/>
      <c r="C140" s="12"/>
      <c r="D140" s="12"/>
      <c r="E140" s="12"/>
      <c r="F140" s="12"/>
      <c r="G140" s="12"/>
      <c r="H140" s="12"/>
      <c r="I140" s="12"/>
      <c r="J140" s="12"/>
      <c r="K140" s="12"/>
      <c r="L140" s="12"/>
      <c r="M140" s="12"/>
      <c r="N140" s="12"/>
      <c r="O140" s="12"/>
      <c r="P140" s="12"/>
      <c r="Q140" s="12"/>
      <c r="R140" s="12"/>
      <c r="S140" s="12"/>
      <c r="T140" s="12"/>
      <c r="U140" s="12"/>
      <c r="V140" s="12"/>
      <c r="W140" s="12"/>
    </row>
    <row r="141" spans="1:23">
      <c r="A141" s="12"/>
      <c r="B141" s="12"/>
      <c r="C141" s="12"/>
      <c r="D141" s="12"/>
      <c r="E141" s="12"/>
      <c r="F141" s="12"/>
      <c r="G141" s="12"/>
      <c r="H141" s="12"/>
      <c r="I141" s="12"/>
      <c r="J141" s="12"/>
      <c r="K141" s="12"/>
      <c r="L141" s="12"/>
      <c r="M141" s="12"/>
      <c r="N141" s="12"/>
      <c r="O141" s="12"/>
      <c r="P141" s="12"/>
      <c r="Q141" s="12"/>
      <c r="R141" s="12"/>
      <c r="S141" s="12"/>
      <c r="T141" s="12"/>
      <c r="U141" s="12"/>
      <c r="V141" s="12"/>
      <c r="W141" s="12"/>
    </row>
    <row r="142" spans="1:23">
      <c r="A142" s="12"/>
      <c r="B142" s="12"/>
      <c r="C142" s="12"/>
      <c r="D142" s="12"/>
      <c r="E142" s="12"/>
      <c r="F142" s="12"/>
      <c r="G142" s="12"/>
      <c r="H142" s="12"/>
      <c r="I142" s="12"/>
      <c r="J142" s="12"/>
      <c r="K142" s="12"/>
      <c r="L142" s="12"/>
      <c r="M142" s="12"/>
      <c r="N142" s="12"/>
      <c r="O142" s="12"/>
      <c r="P142" s="12"/>
      <c r="Q142" s="12"/>
      <c r="R142" s="12"/>
      <c r="S142" s="12"/>
      <c r="T142" s="12"/>
      <c r="U142" s="12"/>
      <c r="V142" s="12"/>
      <c r="W142" s="12"/>
    </row>
    <row r="143" spans="1:23">
      <c r="A143" s="12"/>
      <c r="B143" s="12"/>
      <c r="C143" s="12"/>
      <c r="D143" s="12"/>
      <c r="E143" s="12"/>
      <c r="F143" s="12"/>
      <c r="G143" s="12"/>
      <c r="H143" s="12"/>
      <c r="I143" s="12"/>
      <c r="J143" s="12"/>
      <c r="K143" s="12"/>
      <c r="L143" s="12"/>
      <c r="M143" s="12"/>
      <c r="N143" s="12"/>
      <c r="O143" s="12"/>
      <c r="P143" s="12"/>
      <c r="Q143" s="12"/>
      <c r="R143" s="12"/>
      <c r="S143" s="12"/>
      <c r="T143" s="12"/>
      <c r="U143" s="12"/>
      <c r="V143" s="12"/>
      <c r="W143" s="12"/>
    </row>
    <row r="144" spans="1:23">
      <c r="A144" s="12"/>
      <c r="B144" s="12"/>
      <c r="C144" s="12"/>
      <c r="D144" s="12"/>
      <c r="E144" s="12"/>
      <c r="F144" s="12"/>
      <c r="G144" s="12"/>
      <c r="H144" s="12"/>
      <c r="I144" s="12"/>
      <c r="J144" s="12"/>
      <c r="K144" s="12"/>
      <c r="L144" s="12"/>
      <c r="M144" s="12"/>
      <c r="N144" s="12"/>
      <c r="O144" s="12"/>
      <c r="P144" s="12"/>
      <c r="Q144" s="12"/>
      <c r="R144" s="12"/>
      <c r="S144" s="12"/>
      <c r="T144" s="12"/>
      <c r="U144" s="12"/>
      <c r="V144" s="12"/>
      <c r="W144" s="12"/>
    </row>
    <row r="145" spans="1:23">
      <c r="A145" s="12"/>
      <c r="B145" s="12"/>
      <c r="C145" s="12"/>
      <c r="D145" s="12"/>
      <c r="E145" s="12"/>
      <c r="F145" s="12"/>
      <c r="G145" s="12"/>
      <c r="H145" s="12"/>
      <c r="I145" s="12"/>
      <c r="J145" s="12"/>
      <c r="K145" s="12"/>
      <c r="L145" s="12"/>
      <c r="M145" s="12"/>
      <c r="N145" s="12"/>
      <c r="O145" s="12"/>
      <c r="P145" s="12"/>
      <c r="Q145" s="12"/>
      <c r="R145" s="12"/>
      <c r="S145" s="12"/>
      <c r="T145" s="12"/>
      <c r="U145" s="12"/>
      <c r="V145" s="12"/>
      <c r="W145" s="12"/>
    </row>
    <row r="146" spans="1:23">
      <c r="A146" s="12"/>
      <c r="B146" s="12"/>
      <c r="C146" s="12"/>
      <c r="D146" s="12"/>
      <c r="E146" s="12"/>
      <c r="F146" s="12"/>
      <c r="G146" s="12"/>
      <c r="H146" s="12"/>
      <c r="I146" s="12"/>
      <c r="J146" s="12"/>
      <c r="K146" s="12"/>
      <c r="L146" s="12"/>
      <c r="M146" s="12"/>
      <c r="N146" s="12"/>
      <c r="O146" s="12"/>
      <c r="P146" s="12"/>
      <c r="Q146" s="12"/>
      <c r="R146" s="12"/>
      <c r="S146" s="12"/>
      <c r="T146" s="12"/>
      <c r="U146" s="12"/>
      <c r="V146" s="12"/>
      <c r="W146" s="12"/>
    </row>
    <row r="147" spans="1:23">
      <c r="A147" s="12"/>
      <c r="B147" s="12"/>
      <c r="C147" s="12"/>
      <c r="D147" s="12"/>
      <c r="E147" s="12"/>
      <c r="F147" s="12"/>
      <c r="G147" s="12"/>
      <c r="H147" s="12"/>
      <c r="I147" s="12"/>
      <c r="J147" s="12"/>
      <c r="K147" s="12"/>
      <c r="L147" s="12"/>
      <c r="M147" s="12"/>
      <c r="N147" s="12"/>
      <c r="O147" s="12"/>
      <c r="P147" s="12"/>
      <c r="Q147" s="12"/>
      <c r="R147" s="12"/>
      <c r="S147" s="12"/>
      <c r="T147" s="12"/>
      <c r="U147" s="12"/>
      <c r="V147" s="12"/>
      <c r="W147" s="12"/>
    </row>
    <row r="148" spans="1:23">
      <c r="A148" s="12"/>
      <c r="B148" s="12"/>
      <c r="C148" s="12"/>
      <c r="D148" s="12"/>
      <c r="E148" s="12"/>
      <c r="F148" s="12"/>
      <c r="G148" s="12"/>
      <c r="H148" s="12"/>
      <c r="I148" s="12"/>
      <c r="J148" s="12"/>
      <c r="K148" s="12"/>
      <c r="L148" s="12"/>
      <c r="M148" s="12"/>
      <c r="N148" s="12"/>
      <c r="O148" s="12"/>
      <c r="P148" s="12"/>
      <c r="Q148" s="12"/>
      <c r="R148" s="12"/>
      <c r="S148" s="12"/>
      <c r="T148" s="12"/>
      <c r="U148" s="12"/>
      <c r="V148" s="12"/>
      <c r="W148" s="12"/>
    </row>
    <row r="149" spans="1:23">
      <c r="A149" s="12"/>
      <c r="B149" s="12"/>
      <c r="C149" s="12"/>
      <c r="D149" s="12"/>
      <c r="E149" s="12"/>
      <c r="F149" s="12"/>
      <c r="G149" s="12"/>
      <c r="H149" s="12"/>
      <c r="I149" s="12"/>
      <c r="J149" s="12"/>
      <c r="K149" s="12"/>
      <c r="L149" s="12"/>
      <c r="M149" s="12"/>
      <c r="N149" s="12"/>
      <c r="O149" s="12"/>
      <c r="P149" s="12"/>
      <c r="Q149" s="12"/>
      <c r="R149" s="12"/>
      <c r="S149" s="12"/>
      <c r="T149" s="12"/>
      <c r="U149" s="12"/>
      <c r="V149" s="12"/>
      <c r="W149" s="12"/>
    </row>
  </sheetData>
  <mergeCells count="1">
    <mergeCell ref="A1:W14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8D11D0-C382-43C9-9917-26F20A3CA46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Executive_Dashboard</vt:lpstr>
      <vt:lpstr>SalesData</vt:lpstr>
      <vt:lpstr>Data_Quality_Summary</vt:lpstr>
      <vt:lpstr>KPI_Summary</vt:lpstr>
      <vt:lpstr>Region_Analysis</vt:lpstr>
      <vt:lpstr>Category_Analysis</vt:lpstr>
      <vt:lpstr>Product_Analysis</vt:lpstr>
      <vt:lpstr>Monthly Sales Analysis</vt:lpstr>
      <vt:lpstr>Quarterly_Analysis</vt:lpstr>
      <vt:lpstr>Channel_Analysis</vt:lpstr>
      <vt:lpstr>Segment_Analysis</vt:lpstr>
      <vt:lpstr>Payment_Analysis.</vt:lpstr>
      <vt:lpstr>Business_Insights.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mayureshwar naik</dc:creator>
  <cp:lastModifiedBy>mayureshwar naik</cp:lastModifiedBy>
  <cp:lastPrinted>2026-10-10T13:59:32Z</cp:lastPrinted>
  <dcterms:created xsi:type="dcterms:W3CDTF">2026-10-09T14:23:34Z</dcterms:created>
  <dcterms:modified xsi:type="dcterms:W3CDTF">2026-10-10T18:58:32Z</dcterms:modified>
</cp:coreProperties>
</file>